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ode\Efficient_Frontier\data\input\excel\"/>
    </mc:Choice>
  </mc:AlternateContent>
  <xr:revisionPtr revIDLastSave="0" documentId="8_{79732A50-63A7-4521-852D-68196D02D2B1}" xr6:coauthVersionLast="47" xr6:coauthVersionMax="47" xr10:uidLastSave="{00000000-0000-0000-0000-000000000000}"/>
  <bookViews>
    <workbookView xWindow="1140" yWindow="620" windowWidth="30260" windowHeight="20980" xr2:uid="{00000000-000D-0000-FFFF-FFFF00000000}"/>
  </bookViews>
  <sheets>
    <sheet name="Prices" sheetId="12" r:id="rId1"/>
    <sheet name="DJReturns" sheetId="5" r:id="rId2"/>
    <sheet name="DJFrontier" sheetId="6" r:id="rId3"/>
    <sheet name="SP Hist" sheetId="7" r:id="rId4"/>
  </sheets>
  <definedNames>
    <definedName name="_xlnm._FilterDatabase" localSheetId="3" hidden="1">'SP Hist'!$AC$3:$AC$62</definedName>
    <definedName name="solver_adj" localSheetId="2" hidden="1">DJFrontier!$C$10:$C$39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ng" localSheetId="1" hidden="1">1</definedName>
    <definedName name="solver_est" localSheetId="2" hidden="1">1</definedName>
    <definedName name="solver_itr" localSheetId="2" hidden="1">2147483647</definedName>
    <definedName name="solver_lhs1" localSheetId="2" hidden="1">DJFrontier!$C$4</definedName>
    <definedName name="solver_lhs2" localSheetId="2" hidden="1">DJFrontier!$C$40</definedName>
    <definedName name="solver_lhs3" localSheetId="2" hidden="1">DJFrontier!$C$40</definedName>
    <definedName name="solver_lhs4" localSheetId="2" hidden="1">DJFrontier!$C$40</definedName>
    <definedName name="solver_lhs5" localSheetId="2" hidden="1">DJFrontier!$C$40</definedName>
    <definedName name="solver_lhs6" localSheetId="2" hidden="1">DJFrontier!$C$40</definedName>
    <definedName name="solver_lhs7" localSheetId="2" hidden="1">DJFrontier!$C$40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eg" localSheetId="1" hidden="1">1</definedName>
    <definedName name="solver_nod" localSheetId="2" hidden="1">2147483647</definedName>
    <definedName name="solver_num" localSheetId="2" hidden="1">2</definedName>
    <definedName name="solver_num" localSheetId="1" hidden="1">0</definedName>
    <definedName name="solver_nwt" localSheetId="2" hidden="1">1</definedName>
    <definedName name="solver_opt" localSheetId="2" hidden="1">DJFrontier!$C$2</definedName>
    <definedName name="solver_opt" localSheetId="1" hidden="1">DJReturns!$B$69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el2" localSheetId="2" hidden="1">2</definedName>
    <definedName name="solver_rel3" localSheetId="2" hidden="1">2</definedName>
    <definedName name="solver_rel4" localSheetId="2" hidden="1">2</definedName>
    <definedName name="solver_rel5" localSheetId="2" hidden="1">2</definedName>
    <definedName name="solver_rel6" localSheetId="2" hidden="1">2</definedName>
    <definedName name="solver_rel7" localSheetId="2" hidden="1">2</definedName>
    <definedName name="solver_rhs1" localSheetId="2" hidden="1">5.18402292478304%</definedName>
    <definedName name="solver_rhs2" localSheetId="2" hidden="1">1</definedName>
    <definedName name="solver_rhs3" localSheetId="2" hidden="1">1</definedName>
    <definedName name="solver_rhs4" localSheetId="2" hidden="1">1</definedName>
    <definedName name="solver_rhs5" localSheetId="2" hidden="1">1</definedName>
    <definedName name="solver_rhs6" localSheetId="2" hidden="1">1</definedName>
    <definedName name="solver_rhs7" localSheetId="2" hidden="1">1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typ" localSheetId="1" hidden="1">1</definedName>
    <definedName name="solver_val" localSheetId="2" hidden="1">0</definedName>
    <definedName name="solver_val" localSheetId="1" hidden="1">0</definedName>
    <definedName name="solver_ver" localSheetId="2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5" l="1"/>
  <c r="E65" i="5" l="1"/>
  <c r="I65" i="5"/>
  <c r="M65" i="5"/>
  <c r="Q65" i="5"/>
  <c r="U65" i="5"/>
  <c r="Y65" i="5"/>
  <c r="AC65" i="5"/>
  <c r="L64" i="5" l="1"/>
  <c r="AB64" i="5"/>
  <c r="T64" i="5"/>
  <c r="H64" i="5"/>
  <c r="AE64" i="5"/>
  <c r="AA64" i="5"/>
  <c r="W64" i="5"/>
  <c r="S64" i="5"/>
  <c r="O64" i="5"/>
  <c r="K64" i="5"/>
  <c r="G64" i="5"/>
  <c r="C64" i="5"/>
  <c r="AD64" i="5"/>
  <c r="Z64" i="5"/>
  <c r="V64" i="5"/>
  <c r="R64" i="5"/>
  <c r="N64" i="5"/>
  <c r="J64" i="5"/>
  <c r="F64" i="5"/>
  <c r="AF64" i="5"/>
  <c r="X64" i="5"/>
  <c r="P64" i="5"/>
  <c r="D64" i="5"/>
  <c r="AD65" i="5"/>
  <c r="Z65" i="5"/>
  <c r="V65" i="5"/>
  <c r="R65" i="5"/>
  <c r="N65" i="5"/>
  <c r="J65" i="5"/>
  <c r="F65" i="5"/>
  <c r="B65" i="5"/>
  <c r="AF65" i="5"/>
  <c r="X65" i="5"/>
  <c r="P65" i="5"/>
  <c r="H65" i="5"/>
  <c r="AE65" i="5"/>
  <c r="AA65" i="5"/>
  <c r="W65" i="5"/>
  <c r="S65" i="5"/>
  <c r="O65" i="5"/>
  <c r="K65" i="5"/>
  <c r="G65" i="5"/>
  <c r="C65" i="5"/>
  <c r="AC64" i="5"/>
  <c r="Y64" i="5"/>
  <c r="U64" i="5"/>
  <c r="Q64" i="5"/>
  <c r="M64" i="5"/>
  <c r="I64" i="5"/>
  <c r="E64" i="5"/>
  <c r="AB65" i="5"/>
  <c r="T65" i="5"/>
  <c r="L65" i="5"/>
  <c r="D65" i="5"/>
  <c r="B64" i="5"/>
</calcChain>
</file>

<file path=xl/sharedStrings.xml><?xml version="1.0" encoding="utf-8"?>
<sst xmlns="http://schemas.openxmlformats.org/spreadsheetml/2006/main" count="131" uniqueCount="54">
  <si>
    <t>AXP</t>
  </si>
  <si>
    <t>BA</t>
  </si>
  <si>
    <t>CAT</t>
  </si>
  <si>
    <t>CSCO</t>
  </si>
  <si>
    <t>CVX</t>
  </si>
  <si>
    <t>DIS</t>
  </si>
  <si>
    <t>HD</t>
  </si>
  <si>
    <t>IBM</t>
  </si>
  <si>
    <t>INTC</t>
  </si>
  <si>
    <t>JNJ</t>
  </si>
  <si>
    <t>JPM</t>
  </si>
  <si>
    <t>KO</t>
  </si>
  <si>
    <t>MCD</t>
  </si>
  <si>
    <t>MMM</t>
  </si>
  <si>
    <t>MRK</t>
  </si>
  <si>
    <t>MSFT</t>
  </si>
  <si>
    <t>PG</t>
  </si>
  <si>
    <t>TRV</t>
  </si>
  <si>
    <t>UNH</t>
  </si>
  <si>
    <t>VZ</t>
  </si>
  <si>
    <t>WMT</t>
  </si>
  <si>
    <t>Mean</t>
  </si>
  <si>
    <t>Total</t>
  </si>
  <si>
    <t>St Dev</t>
  </si>
  <si>
    <t>Covariance matrix using Matrix Algebra</t>
  </si>
  <si>
    <t>Means</t>
  </si>
  <si>
    <t>Weights</t>
  </si>
  <si>
    <t>for Solver</t>
  </si>
  <si>
    <t>PFMean</t>
  </si>
  <si>
    <t>PFVar</t>
  </si>
  <si>
    <t>PFStD</t>
  </si>
  <si>
    <t>Sharpe</t>
  </si>
  <si>
    <r>
      <t>R</t>
    </r>
    <r>
      <rPr>
        <vertAlign val="subscript"/>
        <sz val="11"/>
        <color theme="1"/>
        <rFont val="Calibri"/>
        <family val="2"/>
        <scheme val="minor"/>
      </rPr>
      <t>F</t>
    </r>
  </si>
  <si>
    <t>Saved 2 Efficient Frontier Solutions</t>
  </si>
  <si>
    <t>Construct Risky-Risky Frontier</t>
  </si>
  <si>
    <t>Graph here</t>
  </si>
  <si>
    <t>Saved Sharpe Tangent</t>
  </si>
  <si>
    <t>Construct Risky-Riskless</t>
  </si>
  <si>
    <t>Covariance matrix using Data Analysis</t>
  </si>
  <si>
    <t>GS</t>
  </si>
  <si>
    <t>NKE</t>
  </si>
  <si>
    <t>V</t>
  </si>
  <si>
    <t>AAPL</t>
  </si>
  <si>
    <t>SPY</t>
  </si>
  <si>
    <t>WBA</t>
  </si>
  <si>
    <t>DD</t>
  </si>
  <si>
    <t>MV</t>
  </si>
  <si>
    <t>Date</t>
  </si>
  <si>
    <t>RF</t>
  </si>
  <si>
    <t>AMGN</t>
  </si>
  <si>
    <t>CRM</t>
  </si>
  <si>
    <t>HON</t>
  </si>
  <si>
    <t>Weight 4</t>
  </si>
  <si>
    <t>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</si>
</sst>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\-yy;@"/>
    <numFmt numFmtId="165" formatCode="0.0"/>
    <numFmt numFmtId="166" formatCode="0.0000"/>
    <numFmt numFmtId="167" formatCode="0.0000%"/>
    <numFmt numFmtId="168" formatCode="0.0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0" fillId="0" borderId="3" xfId="0" applyBorder="1"/>
    <xf numFmtId="165" fontId="0" fillId="0" borderId="0" xfId="0" applyNumberFormat="1"/>
    <xf numFmtId="0" fontId="0" fillId="2" borderId="0" xfId="0" applyFill="1"/>
    <xf numFmtId="0" fontId="5" fillId="0" borderId="0" xfId="0" applyFont="1"/>
    <xf numFmtId="9" fontId="0" fillId="0" borderId="0" xfId="1" applyFont="1"/>
    <xf numFmtId="9" fontId="0" fillId="0" borderId="0" xfId="0" applyNumberFormat="1"/>
    <xf numFmtId="10" fontId="0" fillId="0" borderId="5" xfId="1" applyNumberFormat="1" applyFont="1" applyBorder="1"/>
    <xf numFmtId="10" fontId="0" fillId="0" borderId="4" xfId="1" applyNumberFormat="1" applyFont="1" applyBorder="1"/>
    <xf numFmtId="167" fontId="0" fillId="0" borderId="0" xfId="0" applyNumberFormat="1"/>
    <xf numFmtId="168" fontId="0" fillId="0" borderId="0" xfId="1" applyNumberFormat="1" applyFont="1"/>
    <xf numFmtId="0" fontId="0" fillId="3" borderId="0" xfId="0" applyFill="1"/>
    <xf numFmtId="0" fontId="0" fillId="0" borderId="0" xfId="1" applyNumberFormat="1" applyFont="1" applyBorder="1"/>
    <xf numFmtId="166" fontId="0" fillId="0" borderId="4" xfId="0" applyNumberFormat="1" applyBorder="1"/>
    <xf numFmtId="167" fontId="0" fillId="0" borderId="5" xfId="1" applyNumberFormat="1" applyFont="1" applyBorder="1"/>
    <xf numFmtId="0" fontId="0" fillId="0" borderId="0" xfId="0" applyAlignment="1">
      <alignment horizontal="center"/>
    </xf>
    <xf numFmtId="0" fontId="6" fillId="0" borderId="0" xfId="0" applyFont="1"/>
    <xf numFmtId="10" fontId="3" fillId="0" borderId="0" xfId="0" applyNumberFormat="1" applyFont="1"/>
    <xf numFmtId="164" fontId="0" fillId="0" borderId="0" xfId="0" applyNumberFormat="1" applyAlignment="1">
      <alignment horizontal="center"/>
    </xf>
    <xf numFmtId="167" fontId="0" fillId="0" borderId="0" xfId="1" applyNumberFormat="1" applyFont="1" applyFill="1" applyBorder="1"/>
    <xf numFmtId="167" fontId="0" fillId="0" borderId="0" xfId="1" applyNumberFormat="1" applyFont="1" applyFill="1"/>
    <xf numFmtId="167" fontId="0" fillId="0" borderId="5" xfId="1" applyNumberFormat="1" applyFont="1" applyFill="1" applyBorder="1"/>
    <xf numFmtId="0" fontId="3" fillId="0" borderId="5" xfId="0" applyFont="1" applyBorder="1"/>
    <xf numFmtId="0" fontId="3" fillId="0" borderId="4" xfId="0" applyFont="1" applyBorder="1"/>
    <xf numFmtId="0" fontId="7" fillId="0" borderId="0" xfId="0" applyFont="1" applyAlignment="1">
      <alignment horizontal="center"/>
    </xf>
    <xf numFmtId="164" fontId="7" fillId="0" borderId="0" xfId="0" applyNumberFormat="1" applyFont="1"/>
    <xf numFmtId="166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17FD-1DDC-438E-8847-47463AC0BED5}">
  <dimension ref="A2:AJ151"/>
  <sheetViews>
    <sheetView tabSelected="1" topLeftCell="A13" zoomScaleNormal="100" workbookViewId="0">
      <selection activeCell="A5" sqref="A5"/>
    </sheetView>
  </sheetViews>
  <sheetFormatPr defaultRowHeight="14.5" x14ac:dyDescent="0.35"/>
  <cols>
    <col min="1" max="1" width="9.81640625" bestFit="1" customWidth="1"/>
    <col min="2" max="32" width="9.08984375" bestFit="1" customWidth="1"/>
  </cols>
  <sheetData>
    <row r="2" spans="1:36" x14ac:dyDescent="0.35">
      <c r="A2" s="31" t="s">
        <v>47</v>
      </c>
      <c r="B2" s="31" t="s">
        <v>43</v>
      </c>
      <c r="C2" s="31" t="s">
        <v>42</v>
      </c>
      <c r="D2" s="31" t="s">
        <v>49</v>
      </c>
      <c r="E2" s="31" t="s">
        <v>0</v>
      </c>
      <c r="F2" s="31" t="s">
        <v>1</v>
      </c>
      <c r="G2" s="31" t="s">
        <v>2</v>
      </c>
      <c r="H2" s="31" t="s">
        <v>50</v>
      </c>
      <c r="I2" s="31" t="s">
        <v>3</v>
      </c>
      <c r="J2" s="31" t="s">
        <v>4</v>
      </c>
      <c r="K2" s="31" t="s">
        <v>45</v>
      </c>
      <c r="L2" s="31" t="s">
        <v>5</v>
      </c>
      <c r="M2" s="31" t="s">
        <v>39</v>
      </c>
      <c r="N2" s="31" t="s">
        <v>6</v>
      </c>
      <c r="O2" s="31" t="s">
        <v>51</v>
      </c>
      <c r="P2" s="31" t="s">
        <v>7</v>
      </c>
      <c r="Q2" s="31" t="s">
        <v>8</v>
      </c>
      <c r="R2" s="31" t="s">
        <v>9</v>
      </c>
      <c r="S2" s="31" t="s">
        <v>10</v>
      </c>
      <c r="T2" s="31" t="s">
        <v>11</v>
      </c>
      <c r="U2" s="31" t="s">
        <v>12</v>
      </c>
      <c r="V2" s="31" t="s">
        <v>13</v>
      </c>
      <c r="W2" s="31" t="s">
        <v>14</v>
      </c>
      <c r="X2" s="31" t="s">
        <v>15</v>
      </c>
      <c r="Y2" s="31" t="s">
        <v>40</v>
      </c>
      <c r="Z2" s="31" t="s">
        <v>16</v>
      </c>
      <c r="AA2" s="31" t="s">
        <v>17</v>
      </c>
      <c r="AB2" s="31" t="s">
        <v>18</v>
      </c>
      <c r="AC2" s="31" t="s">
        <v>41</v>
      </c>
      <c r="AD2" s="31" t="s">
        <v>19</v>
      </c>
      <c r="AE2" s="31" t="s">
        <v>44</v>
      </c>
      <c r="AF2" s="31" t="s">
        <v>20</v>
      </c>
    </row>
    <row r="3" spans="1:36" x14ac:dyDescent="0.35">
      <c r="A3" s="32">
        <v>45473</v>
      </c>
      <c r="B3" s="33">
        <v>544.219970703125</v>
      </c>
      <c r="C3" s="33">
        <v>210.61999511718699</v>
      </c>
      <c r="D3" s="33">
        <v>312.45001220703102</v>
      </c>
      <c r="E3" s="33">
        <v>230.86236572265599</v>
      </c>
      <c r="F3" s="33">
        <v>182.009994506835</v>
      </c>
      <c r="G3" s="33">
        <v>333.100006103515</v>
      </c>
      <c r="H3" s="33">
        <v>256.70040893554602</v>
      </c>
      <c r="I3" s="33">
        <v>47.106430053710902</v>
      </c>
      <c r="J3" s="33">
        <v>156.419998168945</v>
      </c>
      <c r="K3" s="33">
        <v>80.489997863769503</v>
      </c>
      <c r="L3" s="33">
        <v>98.834030151367102</v>
      </c>
      <c r="M3" s="33">
        <v>452.32000732421801</v>
      </c>
      <c r="N3" s="33">
        <v>344.239990234375</v>
      </c>
      <c r="O3" s="33">
        <v>213.53999328613199</v>
      </c>
      <c r="P3" s="33">
        <v>172.94999694824199</v>
      </c>
      <c r="Q3" s="33">
        <v>30.9699993133544</v>
      </c>
      <c r="R3" s="33">
        <v>146.16000366210901</v>
      </c>
      <c r="S3" s="33">
        <v>201.14543151855401</v>
      </c>
      <c r="T3" s="33">
        <v>63.650001525878899</v>
      </c>
      <c r="U3" s="33">
        <v>254.83999633789</v>
      </c>
      <c r="V3" s="33">
        <v>102.19000244140599</v>
      </c>
      <c r="W3" s="33">
        <v>123.800003051757</v>
      </c>
      <c r="X3" s="33">
        <v>446.95001220703102</v>
      </c>
      <c r="Y3" s="33">
        <v>75.370002746582003</v>
      </c>
      <c r="Z3" s="33">
        <v>164.919998168945</v>
      </c>
      <c r="AA3" s="33">
        <v>203.33999633789</v>
      </c>
      <c r="AB3" s="33">
        <v>509.260009765625</v>
      </c>
      <c r="AC3" s="33">
        <v>262.47000122070301</v>
      </c>
      <c r="AD3" s="33">
        <v>40.575965881347599</v>
      </c>
      <c r="AE3" s="33">
        <v>12.1000003814697</v>
      </c>
      <c r="AF3" s="33">
        <v>67.709999084472599</v>
      </c>
      <c r="AG3" s="23"/>
      <c r="AH3" s="23"/>
      <c r="AI3" s="23"/>
      <c r="AJ3" s="23"/>
    </row>
    <row r="4" spans="1:36" x14ac:dyDescent="0.35">
      <c r="A4" s="32">
        <v>45443</v>
      </c>
      <c r="B4" s="33">
        <v>525.67413330078102</v>
      </c>
      <c r="C4" s="33">
        <v>192.25</v>
      </c>
      <c r="D4" s="33">
        <v>305.850006103515</v>
      </c>
      <c r="E4" s="33">
        <v>239.28726196289</v>
      </c>
      <c r="F4" s="33">
        <v>177.61000061035099</v>
      </c>
      <c r="G4" s="33">
        <v>338.51998901367102</v>
      </c>
      <c r="H4" s="33">
        <v>234.07563781738199</v>
      </c>
      <c r="I4" s="33">
        <v>46.105010986328097</v>
      </c>
      <c r="J4" s="33">
        <v>162.30000305175699</v>
      </c>
      <c r="K4" s="33">
        <v>82.160003662109304</v>
      </c>
      <c r="L4" s="33">
        <v>103.432815551757</v>
      </c>
      <c r="M4" s="33">
        <v>456.51998901367102</v>
      </c>
      <c r="N4" s="33">
        <v>334.86999511718699</v>
      </c>
      <c r="O4" s="33">
        <v>202.19000244140599</v>
      </c>
      <c r="P4" s="33">
        <v>166.850006103515</v>
      </c>
      <c r="Q4" s="33">
        <v>30.850000381469702</v>
      </c>
      <c r="R4" s="33">
        <v>146.669998168945</v>
      </c>
      <c r="S4" s="33">
        <v>201.51339721679599</v>
      </c>
      <c r="T4" s="33">
        <v>62.445465087890597</v>
      </c>
      <c r="U4" s="33">
        <v>257.22003173828102</v>
      </c>
      <c r="V4" s="33">
        <v>100.139999389648</v>
      </c>
      <c r="W4" s="33">
        <v>124.79342651367099</v>
      </c>
      <c r="X4" s="33">
        <v>415.13000488281199</v>
      </c>
      <c r="Y4" s="33">
        <v>94.680007934570298</v>
      </c>
      <c r="Z4" s="33">
        <v>164.53999328613199</v>
      </c>
      <c r="AA4" s="33">
        <v>214.63644409179599</v>
      </c>
      <c r="AB4" s="33">
        <v>493.27737426757801</v>
      </c>
      <c r="AC4" s="33">
        <v>272.45999145507801</v>
      </c>
      <c r="AD4" s="33">
        <v>40.487415313720703</v>
      </c>
      <c r="AE4" s="33">
        <v>16.2199993133544</v>
      </c>
      <c r="AF4" s="33">
        <v>65.760002136230398</v>
      </c>
      <c r="AG4" s="23"/>
      <c r="AH4" s="23"/>
      <c r="AI4" s="23"/>
      <c r="AJ4" s="23"/>
    </row>
    <row r="5" spans="1:36" x14ac:dyDescent="0.35">
      <c r="A5" s="32">
        <v>45412</v>
      </c>
      <c r="B5" s="33">
        <v>500.36578369140602</v>
      </c>
      <c r="C5" s="33">
        <v>170.09928894042901</v>
      </c>
      <c r="D5" s="33">
        <v>272.008056640625</v>
      </c>
      <c r="E5" s="33">
        <v>233.33499145507801</v>
      </c>
      <c r="F5" s="33">
        <v>167.83999633789</v>
      </c>
      <c r="G5" s="33">
        <v>334.57000732421801</v>
      </c>
      <c r="H5" s="33">
        <v>268.52200317382801</v>
      </c>
      <c r="I5" s="33">
        <v>46.5809326171875</v>
      </c>
      <c r="J5" s="33">
        <v>159.657791137695</v>
      </c>
      <c r="K5" s="33">
        <v>72.163284301757798</v>
      </c>
      <c r="L5" s="33">
        <v>110.589790344238</v>
      </c>
      <c r="M5" s="33">
        <v>424.14321899414</v>
      </c>
      <c r="N5" s="33">
        <v>331.91262817382801</v>
      </c>
      <c r="O5" s="33">
        <v>191.71493530273401</v>
      </c>
      <c r="P5" s="33">
        <v>164.56637573242099</v>
      </c>
      <c r="Q5" s="33">
        <v>30.346738815307599</v>
      </c>
      <c r="R5" s="33">
        <v>143.43058776855401</v>
      </c>
      <c r="S5" s="33">
        <v>190.68341064453099</v>
      </c>
      <c r="T5" s="33">
        <v>61.294395446777301</v>
      </c>
      <c r="U5" s="33">
        <v>271.27874755859301</v>
      </c>
      <c r="V5" s="33">
        <v>95.844352722167898</v>
      </c>
      <c r="W5" s="33">
        <v>128.45155334472599</v>
      </c>
      <c r="X5" s="33">
        <v>388.62899780273398</v>
      </c>
      <c r="Y5" s="33">
        <v>91.900863647460895</v>
      </c>
      <c r="Z5" s="33">
        <v>163.19999694824199</v>
      </c>
      <c r="AA5" s="33">
        <v>211.11389160156199</v>
      </c>
      <c r="AB5" s="33">
        <v>481.65667724609301</v>
      </c>
      <c r="AC5" s="33">
        <v>268.11380004882801</v>
      </c>
      <c r="AD5" s="33">
        <v>38.8541450500488</v>
      </c>
      <c r="AE5" s="33">
        <v>17.486186981201101</v>
      </c>
      <c r="AF5" s="33">
        <v>59.145275115966797</v>
      </c>
      <c r="AG5" s="23"/>
      <c r="AH5" s="23"/>
      <c r="AI5" s="23"/>
      <c r="AJ5" s="23"/>
    </row>
    <row r="6" spans="1:36" x14ac:dyDescent="0.35">
      <c r="A6" s="32">
        <v>45382</v>
      </c>
      <c r="B6" s="33">
        <v>521.387939453125</v>
      </c>
      <c r="C6" s="33">
        <v>171.24772644042901</v>
      </c>
      <c r="D6" s="33">
        <v>282.314849853515</v>
      </c>
      <c r="E6" s="33">
        <v>226.31265258789</v>
      </c>
      <c r="F6" s="33">
        <v>192.99000549316401</v>
      </c>
      <c r="G6" s="33">
        <v>365.09912109375</v>
      </c>
      <c r="H6" s="33">
        <v>300.7119140625</v>
      </c>
      <c r="I6" s="33">
        <v>49.085025787353501</v>
      </c>
      <c r="J6" s="33">
        <v>156.1630859375</v>
      </c>
      <c r="K6" s="33">
        <v>76.313919067382798</v>
      </c>
      <c r="L6" s="33">
        <v>121.79808807373</v>
      </c>
      <c r="M6" s="33">
        <v>415.177490234375</v>
      </c>
      <c r="N6" s="33">
        <v>380.95172119140602</v>
      </c>
      <c r="O6" s="33">
        <v>204.16900634765599</v>
      </c>
      <c r="P6" s="33">
        <v>189.0830078125</v>
      </c>
      <c r="Q6" s="33">
        <v>43.991317749023402</v>
      </c>
      <c r="R6" s="33">
        <v>156.92153930664</v>
      </c>
      <c r="S6" s="33">
        <v>198.04103088378901</v>
      </c>
      <c r="T6" s="33">
        <v>60.708938598632798</v>
      </c>
      <c r="U6" s="33">
        <v>280.131256103515</v>
      </c>
      <c r="V6" s="33">
        <v>88.075599670410099</v>
      </c>
      <c r="W6" s="33">
        <v>131.16531372070301</v>
      </c>
      <c r="X6" s="33">
        <v>419.96249389648398</v>
      </c>
      <c r="Y6" s="33">
        <v>93.614173889160099</v>
      </c>
      <c r="Z6" s="33">
        <v>161.209060668945</v>
      </c>
      <c r="AA6" s="33">
        <v>229.00523376464801</v>
      </c>
      <c r="AB6" s="33">
        <v>492.61022949218699</v>
      </c>
      <c r="AC6" s="33">
        <v>278.564453125</v>
      </c>
      <c r="AD6" s="33">
        <v>40.626472473144503</v>
      </c>
      <c r="AE6" s="33">
        <v>21.3917331695556</v>
      </c>
      <c r="AF6" s="33">
        <v>59.962444305419901</v>
      </c>
      <c r="AG6" s="23"/>
      <c r="AH6" s="23"/>
      <c r="AI6" s="23"/>
      <c r="AJ6" s="23"/>
    </row>
    <row r="7" spans="1:36" x14ac:dyDescent="0.35">
      <c r="A7" s="32">
        <v>45351</v>
      </c>
      <c r="B7" s="33">
        <v>504.87747192382801</v>
      </c>
      <c r="C7" s="33">
        <v>180.50517272949199</v>
      </c>
      <c r="D7" s="33">
        <v>271.898834228515</v>
      </c>
      <c r="E7" s="33">
        <v>218.09266662597599</v>
      </c>
      <c r="F7" s="33">
        <v>203.72000122070301</v>
      </c>
      <c r="G7" s="33">
        <v>332.74703979492102</v>
      </c>
      <c r="H7" s="33">
        <v>307.93777465820301</v>
      </c>
      <c r="I7" s="33">
        <v>47.570476531982401</v>
      </c>
      <c r="J7" s="33">
        <v>150.49035644531199</v>
      </c>
      <c r="K7" s="33">
        <v>68.868659973144503</v>
      </c>
      <c r="L7" s="33">
        <v>111.06759643554599</v>
      </c>
      <c r="M7" s="33">
        <v>386.70974731445301</v>
      </c>
      <c r="N7" s="33">
        <v>375.735107421875</v>
      </c>
      <c r="O7" s="33">
        <v>197.683334350585</v>
      </c>
      <c r="P7" s="33">
        <v>183.21128845214801</v>
      </c>
      <c r="Q7" s="33">
        <v>42.875846862792898</v>
      </c>
      <c r="R7" s="33">
        <v>160.08596801757801</v>
      </c>
      <c r="S7" s="33">
        <v>183.96163940429599</v>
      </c>
      <c r="T7" s="33">
        <v>59.085262298583899</v>
      </c>
      <c r="U7" s="33">
        <v>290.39462280273398</v>
      </c>
      <c r="V7" s="33">
        <v>76.492164611816406</v>
      </c>
      <c r="W7" s="33">
        <v>125.59716796875</v>
      </c>
      <c r="X7" s="33">
        <v>412.895263671875</v>
      </c>
      <c r="Y7" s="33">
        <v>103.15687561035099</v>
      </c>
      <c r="Z7" s="33">
        <v>157.92030334472599</v>
      </c>
      <c r="AA7" s="33">
        <v>218.87390136718699</v>
      </c>
      <c r="AB7" s="33">
        <v>489.58483886718699</v>
      </c>
      <c r="AC7" s="33">
        <v>282.11788940429602</v>
      </c>
      <c r="AD7" s="33">
        <v>38.748130798339801</v>
      </c>
      <c r="AE7" s="33">
        <v>20.967645645141602</v>
      </c>
      <c r="AF7" s="33">
        <v>58.209579467773402</v>
      </c>
      <c r="AG7" s="23"/>
      <c r="AH7" s="23"/>
      <c r="AI7" s="23"/>
      <c r="AJ7" s="23"/>
    </row>
    <row r="8" spans="1:36" x14ac:dyDescent="0.35">
      <c r="A8" s="32">
        <v>45322</v>
      </c>
      <c r="B8" s="33">
        <v>479.836334228515</v>
      </c>
      <c r="C8" s="33">
        <v>183.91554260253901</v>
      </c>
      <c r="D8" s="33">
        <v>309.62326049804602</v>
      </c>
      <c r="E8" s="33">
        <v>199.52568054199199</v>
      </c>
      <c r="F8" s="33">
        <v>211.03999328613199</v>
      </c>
      <c r="G8" s="33">
        <v>299.21926879882801</v>
      </c>
      <c r="H8" s="33">
        <v>280.287017822265</v>
      </c>
      <c r="I8" s="33">
        <v>49.350559234619098</v>
      </c>
      <c r="J8" s="33">
        <v>144.38069152832</v>
      </c>
      <c r="K8" s="33">
        <v>61.177131652832003</v>
      </c>
      <c r="L8" s="33">
        <v>95.608909606933594</v>
      </c>
      <c r="M8" s="33">
        <v>379.01419067382801</v>
      </c>
      <c r="N8" s="33">
        <v>348.43923950195301</v>
      </c>
      <c r="O8" s="33">
        <v>200.09494018554599</v>
      </c>
      <c r="P8" s="33">
        <v>180.21177673339801</v>
      </c>
      <c r="Q8" s="33">
        <v>42.7803344726562</v>
      </c>
      <c r="R8" s="33">
        <v>156.43804931640599</v>
      </c>
      <c r="S8" s="33">
        <v>172.39358520507801</v>
      </c>
      <c r="T8" s="33">
        <v>58.563518524169901</v>
      </c>
      <c r="U8" s="33">
        <v>289.186431884765</v>
      </c>
      <c r="V8" s="33">
        <v>77.063835144042898</v>
      </c>
      <c r="W8" s="33">
        <v>119.304962158203</v>
      </c>
      <c r="X8" s="33">
        <v>396.13162231445301</v>
      </c>
      <c r="Y8" s="33">
        <v>100.774726867675</v>
      </c>
      <c r="Z8" s="33">
        <v>156.1318359375</v>
      </c>
      <c r="AA8" s="33">
        <v>209.36453247070301</v>
      </c>
      <c r="AB8" s="33">
        <v>507.57727050781199</v>
      </c>
      <c r="AC8" s="33">
        <v>272.24755859375</v>
      </c>
      <c r="AD8" s="33">
        <v>41.004077911376903</v>
      </c>
      <c r="AE8" s="33">
        <v>22.0099697113037</v>
      </c>
      <c r="AF8" s="33">
        <v>54.707004547119098</v>
      </c>
      <c r="AG8" s="23"/>
      <c r="AH8" s="23"/>
      <c r="AI8" s="23"/>
      <c r="AJ8" s="23"/>
    </row>
    <row r="9" spans="1:36" x14ac:dyDescent="0.35">
      <c r="A9" s="32">
        <v>45291</v>
      </c>
      <c r="B9" s="33">
        <v>472.31402587890602</v>
      </c>
      <c r="C9" s="33">
        <v>192.02418518066401</v>
      </c>
      <c r="D9" s="33">
        <v>283.77038574218699</v>
      </c>
      <c r="E9" s="33">
        <v>185.60708618164</v>
      </c>
      <c r="F9" s="33">
        <v>260.66000366210898</v>
      </c>
      <c r="G9" s="33">
        <v>293.23757934570301</v>
      </c>
      <c r="H9" s="33">
        <v>262.38830566406199</v>
      </c>
      <c r="I9" s="33">
        <v>49.301315307617102</v>
      </c>
      <c r="J9" s="33">
        <v>146.07492065429599</v>
      </c>
      <c r="K9" s="33">
        <v>76.154640197753906</v>
      </c>
      <c r="L9" s="33">
        <v>89.875358581542898</v>
      </c>
      <c r="M9" s="33">
        <v>380.75128173828102</v>
      </c>
      <c r="N9" s="33">
        <v>342.11135864257801</v>
      </c>
      <c r="O9" s="33">
        <v>207.46519470214801</v>
      </c>
      <c r="P9" s="33">
        <v>160.47935485839801</v>
      </c>
      <c r="Q9" s="33">
        <v>49.900455474853501</v>
      </c>
      <c r="R9" s="33">
        <v>154.31153869628901</v>
      </c>
      <c r="S9" s="33">
        <v>167.15090942382801</v>
      </c>
      <c r="T9" s="33">
        <v>58.012237548828097</v>
      </c>
      <c r="U9" s="33">
        <v>292.93069458007801</v>
      </c>
      <c r="V9" s="33">
        <v>89.291130065917898</v>
      </c>
      <c r="W9" s="33">
        <v>107.688583374023</v>
      </c>
      <c r="X9" s="33">
        <v>374.67007446289</v>
      </c>
      <c r="Y9" s="33">
        <v>107.762367248535</v>
      </c>
      <c r="Z9" s="33">
        <v>144.68608093261699</v>
      </c>
      <c r="AA9" s="33">
        <v>188.69157409667901</v>
      </c>
      <c r="AB9" s="33">
        <v>522.18743896484295</v>
      </c>
      <c r="AC9" s="33">
        <v>259.38540649414</v>
      </c>
      <c r="AD9" s="33">
        <v>35.896526336669901</v>
      </c>
      <c r="AE9" s="33">
        <v>25.462133407592699</v>
      </c>
      <c r="AF9" s="33">
        <v>52.1909790039062</v>
      </c>
    </row>
    <row r="10" spans="1:36" x14ac:dyDescent="0.35">
      <c r="A10" s="32">
        <v>45260</v>
      </c>
      <c r="B10" s="33">
        <v>451.69186401367102</v>
      </c>
      <c r="C10" s="33">
        <v>189.45095825195301</v>
      </c>
      <c r="D10" s="33">
        <v>265.66162109375</v>
      </c>
      <c r="E10" s="33">
        <v>169.19036865234301</v>
      </c>
      <c r="F10" s="33">
        <v>231.63000488281199</v>
      </c>
      <c r="G10" s="33">
        <v>248.65737915039</v>
      </c>
      <c r="H10" s="33">
        <v>251.18038940429599</v>
      </c>
      <c r="I10" s="33">
        <v>47.212936401367102</v>
      </c>
      <c r="J10" s="33">
        <v>140.62992858886699</v>
      </c>
      <c r="K10" s="33">
        <v>70.818962097167898</v>
      </c>
      <c r="L10" s="33">
        <v>91.964622497558594</v>
      </c>
      <c r="M10" s="33">
        <v>337.09671020507801</v>
      </c>
      <c r="N10" s="33">
        <v>309.47479248046801</v>
      </c>
      <c r="O10" s="33">
        <v>193.82279968261699</v>
      </c>
      <c r="P10" s="33">
        <v>155.58303833007801</v>
      </c>
      <c r="Q10" s="33">
        <v>44.389064788818303</v>
      </c>
      <c r="R10" s="33">
        <v>152.26376342773401</v>
      </c>
      <c r="S10" s="33">
        <v>153.37399291992099</v>
      </c>
      <c r="T10" s="33">
        <v>57.529869079589801</v>
      </c>
      <c r="U10" s="33">
        <v>278.43777465820301</v>
      </c>
      <c r="V10" s="33">
        <v>80.9190673828125</v>
      </c>
      <c r="W10" s="33">
        <v>100.50074005126901</v>
      </c>
      <c r="X10" s="33">
        <v>377.52963256835898</v>
      </c>
      <c r="Y10" s="33">
        <v>109.082466125488</v>
      </c>
      <c r="Z10" s="33">
        <v>151.57778930664</v>
      </c>
      <c r="AA10" s="33">
        <v>177.93775939941401</v>
      </c>
      <c r="AB10" s="33">
        <v>546.607177734375</v>
      </c>
      <c r="AC10" s="33">
        <v>255.72898864746</v>
      </c>
      <c r="AD10" s="33">
        <v>36.496391296386697</v>
      </c>
      <c r="AE10" s="33">
        <v>19.4452304840087</v>
      </c>
      <c r="AF10" s="33">
        <v>51.351387023925703</v>
      </c>
    </row>
    <row r="11" spans="1:36" x14ac:dyDescent="0.35">
      <c r="A11" s="32">
        <v>45230</v>
      </c>
      <c r="B11" s="33">
        <v>413.88595581054602</v>
      </c>
      <c r="C11" s="33">
        <v>170.09725952148401</v>
      </c>
      <c r="D11" s="33">
        <v>249.96189880371</v>
      </c>
      <c r="E11" s="33">
        <v>144.67921447753901</v>
      </c>
      <c r="F11" s="33">
        <v>186.82000732421801</v>
      </c>
      <c r="G11" s="33">
        <v>224.190338134765</v>
      </c>
      <c r="H11" s="33">
        <v>200.25628662109301</v>
      </c>
      <c r="I11" s="33">
        <v>50.872474670410099</v>
      </c>
      <c r="J11" s="33">
        <v>141.23536682128901</v>
      </c>
      <c r="K11" s="33">
        <v>71.781135559082003</v>
      </c>
      <c r="L11" s="33">
        <v>80.951477050781193</v>
      </c>
      <c r="M11" s="33">
        <v>297.21954345703102</v>
      </c>
      <c r="N11" s="33">
        <v>279.16909790039</v>
      </c>
      <c r="O11" s="33">
        <v>180.23776245117099</v>
      </c>
      <c r="P11" s="33">
        <v>140.33285522460901</v>
      </c>
      <c r="Q11" s="33">
        <v>36.127311706542898</v>
      </c>
      <c r="R11" s="33">
        <v>144.88143920898401</v>
      </c>
      <c r="S11" s="33">
        <v>136.64907836914</v>
      </c>
      <c r="T11" s="33">
        <v>55.170936584472599</v>
      </c>
      <c r="U11" s="33">
        <v>257.46255493164</v>
      </c>
      <c r="V11" s="33">
        <v>73.135856628417898</v>
      </c>
      <c r="W11" s="33">
        <v>100.71648406982401</v>
      </c>
      <c r="X11" s="33">
        <v>336.19592285156199</v>
      </c>
      <c r="Y11" s="33">
        <v>101.66323852539</v>
      </c>
      <c r="Z11" s="33">
        <v>148.13194274902301</v>
      </c>
      <c r="AA11" s="33">
        <v>164.95349121093699</v>
      </c>
      <c r="AB11" s="33">
        <v>529.39752197265602</v>
      </c>
      <c r="AC11" s="33">
        <v>233.731353759765</v>
      </c>
      <c r="AD11" s="33">
        <v>33.449474334716797</v>
      </c>
      <c r="AE11" s="33">
        <v>20.081638336181602</v>
      </c>
      <c r="AF11" s="33">
        <v>53.897686004638601</v>
      </c>
    </row>
    <row r="12" spans="1:36" x14ac:dyDescent="0.35">
      <c r="A12" s="32">
        <v>45199</v>
      </c>
      <c r="B12" s="33">
        <v>423.070220947265</v>
      </c>
      <c r="C12" s="33">
        <v>170.53553771972599</v>
      </c>
      <c r="D12" s="33">
        <v>262.72882080078102</v>
      </c>
      <c r="E12" s="33">
        <v>147.20516967773401</v>
      </c>
      <c r="F12" s="33">
        <v>191.67999267578099</v>
      </c>
      <c r="G12" s="33">
        <v>269.36224365234301</v>
      </c>
      <c r="H12" s="33">
        <v>202.20071411132801</v>
      </c>
      <c r="I12" s="33">
        <v>52.086971282958899</v>
      </c>
      <c r="J12" s="33">
        <v>163.41938781738199</v>
      </c>
      <c r="K12" s="33">
        <v>73.465354919433594</v>
      </c>
      <c r="L12" s="33">
        <v>80.415710449218693</v>
      </c>
      <c r="M12" s="33">
        <v>316.75946044921801</v>
      </c>
      <c r="N12" s="33">
        <v>296.30032348632801</v>
      </c>
      <c r="O12" s="33">
        <v>181.69334411621</v>
      </c>
      <c r="P12" s="33">
        <v>136.12208557128901</v>
      </c>
      <c r="Q12" s="33">
        <v>35.187007904052699</v>
      </c>
      <c r="R12" s="33">
        <v>152.11868286132801</v>
      </c>
      <c r="S12" s="33">
        <v>141.46192932128901</v>
      </c>
      <c r="T12" s="33">
        <v>54.672843933105398</v>
      </c>
      <c r="U12" s="33">
        <v>258.70974731445301</v>
      </c>
      <c r="V12" s="33">
        <v>75.282897949218693</v>
      </c>
      <c r="W12" s="33">
        <v>100.96166229248</v>
      </c>
      <c r="X12" s="33">
        <v>313.96249389648398</v>
      </c>
      <c r="Y12" s="33">
        <v>94.590240478515597</v>
      </c>
      <c r="Z12" s="33">
        <v>143.11141967773401</v>
      </c>
      <c r="AA12" s="33">
        <v>160.88482666015599</v>
      </c>
      <c r="AB12" s="33">
        <v>498.38848876953102</v>
      </c>
      <c r="AC12" s="33">
        <v>228.67095947265599</v>
      </c>
      <c r="AD12" s="33">
        <v>30.2146606445312</v>
      </c>
      <c r="AE12" s="33">
        <v>21.186700820922798</v>
      </c>
      <c r="AF12" s="33">
        <v>52.749874114990199</v>
      </c>
    </row>
    <row r="13" spans="1:36" x14ac:dyDescent="0.35">
      <c r="A13" s="32">
        <v>45169</v>
      </c>
      <c r="B13" s="33">
        <v>444.13766479492102</v>
      </c>
      <c r="C13" s="33">
        <v>187.1298828125</v>
      </c>
      <c r="D13" s="33">
        <v>250.58753967285099</v>
      </c>
      <c r="E13" s="33">
        <v>155.888092041015</v>
      </c>
      <c r="F13" s="33">
        <v>224.02999877929599</v>
      </c>
      <c r="G13" s="33">
        <v>277.38391113281199</v>
      </c>
      <c r="H13" s="33">
        <v>220.82734680175699</v>
      </c>
      <c r="I13" s="33">
        <v>55.565242767333899</v>
      </c>
      <c r="J13" s="33">
        <v>156.13133239746</v>
      </c>
      <c r="K13" s="33">
        <v>75.730674743652301</v>
      </c>
      <c r="L13" s="33">
        <v>83.025131225585895</v>
      </c>
      <c r="M13" s="33">
        <v>320.81228637695301</v>
      </c>
      <c r="N13" s="33">
        <v>323.89462280273398</v>
      </c>
      <c r="O13" s="33">
        <v>184.84059143066401</v>
      </c>
      <c r="P13" s="33">
        <v>142.45764160156199</v>
      </c>
      <c r="Q13" s="33">
        <v>34.781192779541001</v>
      </c>
      <c r="R13" s="33">
        <v>157.91043090820301</v>
      </c>
      <c r="S13" s="33">
        <v>142.73977661132801</v>
      </c>
      <c r="T13" s="33">
        <v>57.973003387451101</v>
      </c>
      <c r="U13" s="33">
        <v>276.10171508789</v>
      </c>
      <c r="V13" s="33">
        <v>85.776824951171804</v>
      </c>
      <c r="W13" s="33">
        <v>106.15153503417901</v>
      </c>
      <c r="X13" s="33">
        <v>325.90451049804602</v>
      </c>
      <c r="Y13" s="33">
        <v>100.278312683105</v>
      </c>
      <c r="Z13" s="33">
        <v>151.43161010742099</v>
      </c>
      <c r="AA13" s="33">
        <v>157.84674072265599</v>
      </c>
      <c r="AB13" s="33">
        <v>469.26934814453102</v>
      </c>
      <c r="AC13" s="33">
        <v>244.249755859375</v>
      </c>
      <c r="AD13" s="33">
        <v>32.610580444335902</v>
      </c>
      <c r="AE13" s="33">
        <v>24.111303329467699</v>
      </c>
      <c r="AF13" s="33">
        <v>53.633819580078097</v>
      </c>
    </row>
    <row r="14" spans="1:36" x14ac:dyDescent="0.35">
      <c r="A14" s="32">
        <v>45138</v>
      </c>
      <c r="B14" s="33">
        <v>451.47506713867102</v>
      </c>
      <c r="C14" s="33">
        <v>195.41220092773401</v>
      </c>
      <c r="D14" s="33">
        <v>227.05584716796801</v>
      </c>
      <c r="E14" s="33">
        <v>166.633209228515</v>
      </c>
      <c r="F14" s="33">
        <v>238.850006103515</v>
      </c>
      <c r="G14" s="33">
        <v>261.63659667968699</v>
      </c>
      <c r="H14" s="33">
        <v>224.36720275878901</v>
      </c>
      <c r="I14" s="33">
        <v>50.420494079589801</v>
      </c>
      <c r="J14" s="33">
        <v>157.1025390625</v>
      </c>
      <c r="K14" s="33">
        <v>76.459518432617102</v>
      </c>
      <c r="L14" s="33">
        <v>88.194351196289006</v>
      </c>
      <c r="M14" s="33">
        <v>345.49865722656199</v>
      </c>
      <c r="N14" s="33">
        <v>325.28872680664</v>
      </c>
      <c r="O14" s="33">
        <v>189.88931274414</v>
      </c>
      <c r="P14" s="33">
        <v>138.29505920410099</v>
      </c>
      <c r="Q14" s="33">
        <v>35.277847290038999</v>
      </c>
      <c r="R14" s="33">
        <v>162.44461059570301</v>
      </c>
      <c r="S14" s="33">
        <v>154.08444213867099</v>
      </c>
      <c r="T14" s="33">
        <v>60.007820129394503</v>
      </c>
      <c r="U14" s="33">
        <v>286.39566040039</v>
      </c>
      <c r="V14" s="33">
        <v>88.339645385742102</v>
      </c>
      <c r="W14" s="33">
        <v>103.88201141357401</v>
      </c>
      <c r="X14" s="33">
        <v>333.31265258789</v>
      </c>
      <c r="Y14" s="33">
        <v>108.836135864257</v>
      </c>
      <c r="Z14" s="33">
        <v>153.35469055175699</v>
      </c>
      <c r="AA14" s="33">
        <v>168.98797607421801</v>
      </c>
      <c r="AB14" s="33">
        <v>498.60238647460898</v>
      </c>
      <c r="AC14" s="33">
        <v>235.90243530273401</v>
      </c>
      <c r="AD14" s="33">
        <v>31.771539688110298</v>
      </c>
      <c r="AE14" s="33">
        <v>28.046024322509702</v>
      </c>
      <c r="AF14" s="33">
        <v>52.540004730224602</v>
      </c>
    </row>
    <row r="15" spans="1:36" x14ac:dyDescent="0.35">
      <c r="A15" s="32">
        <v>45107</v>
      </c>
      <c r="B15" s="33">
        <v>437.16522216796801</v>
      </c>
      <c r="C15" s="33">
        <v>192.94532775878901</v>
      </c>
      <c r="D15" s="33">
        <v>215.29335021972599</v>
      </c>
      <c r="E15" s="33">
        <v>171.294998168945</v>
      </c>
      <c r="F15" s="33">
        <v>211.16000366210901</v>
      </c>
      <c r="G15" s="33">
        <v>241.57501220703099</v>
      </c>
      <c r="H15" s="33">
        <v>210.656478881835</v>
      </c>
      <c r="I15" s="33">
        <v>49.752552032470703</v>
      </c>
      <c r="J15" s="33">
        <v>151.04536437988199</v>
      </c>
      <c r="K15" s="33">
        <v>70.037300109863196</v>
      </c>
      <c r="L15" s="33">
        <v>88.581298828125</v>
      </c>
      <c r="M15" s="33">
        <v>313.140045166015</v>
      </c>
      <c r="N15" s="33">
        <v>302.683013916015</v>
      </c>
      <c r="O15" s="33">
        <v>202.96723937988199</v>
      </c>
      <c r="P15" s="33">
        <v>128.34834289550699</v>
      </c>
      <c r="Q15" s="33">
        <v>32.979904174804602</v>
      </c>
      <c r="R15" s="33">
        <v>160.49560546875</v>
      </c>
      <c r="S15" s="33">
        <v>140.90394592285099</v>
      </c>
      <c r="T15" s="33">
        <v>58.350898742675703</v>
      </c>
      <c r="U15" s="33">
        <v>291.48471069335898</v>
      </c>
      <c r="V15" s="33">
        <v>79.299690246582003</v>
      </c>
      <c r="W15" s="33">
        <v>112.39516448974599</v>
      </c>
      <c r="X15" s="33">
        <v>337.89675903320301</v>
      </c>
      <c r="Y15" s="33">
        <v>108.81641387939401</v>
      </c>
      <c r="Z15" s="33">
        <v>147.94844055175699</v>
      </c>
      <c r="AA15" s="33">
        <v>170.01593017578099</v>
      </c>
      <c r="AB15" s="33">
        <v>473.26712036132801</v>
      </c>
      <c r="AC15" s="33">
        <v>235.65434265136699</v>
      </c>
      <c r="AD15" s="33">
        <v>34.061130523681598</v>
      </c>
      <c r="AE15" s="33">
        <v>26.661035537719702</v>
      </c>
      <c r="AF15" s="33">
        <v>51.659191131591797</v>
      </c>
    </row>
    <row r="16" spans="1:36" x14ac:dyDescent="0.35">
      <c r="A16" s="32">
        <v>45077</v>
      </c>
      <c r="B16" s="33">
        <v>410.56091308593699</v>
      </c>
      <c r="C16" s="33">
        <v>176.31364440917901</v>
      </c>
      <c r="D16" s="33">
        <v>213.96482849121</v>
      </c>
      <c r="E16" s="33">
        <v>155.91584777832</v>
      </c>
      <c r="F16" s="33">
        <v>205.69999694824199</v>
      </c>
      <c r="G16" s="33">
        <v>202.00798034667901</v>
      </c>
      <c r="H16" s="33">
        <v>222.74188232421801</v>
      </c>
      <c r="I16" s="33">
        <v>47.762069702148402</v>
      </c>
      <c r="J16" s="33">
        <v>144.58502197265599</v>
      </c>
      <c r="K16" s="33">
        <v>65.870765686035099</v>
      </c>
      <c r="L16" s="33">
        <v>87.271636962890597</v>
      </c>
      <c r="M16" s="33">
        <v>314.46038818359301</v>
      </c>
      <c r="N16" s="33">
        <v>276.189453125</v>
      </c>
      <c r="O16" s="33">
        <v>187.41456604003901</v>
      </c>
      <c r="P16" s="33">
        <v>123.34140014648401</v>
      </c>
      <c r="Q16" s="33">
        <v>31.007421493530199</v>
      </c>
      <c r="R16" s="33">
        <v>150.35311889648401</v>
      </c>
      <c r="S16" s="33">
        <v>131.47741699218699</v>
      </c>
      <c r="T16" s="33">
        <v>57.371337890625</v>
      </c>
      <c r="U16" s="33">
        <v>277.022857666015</v>
      </c>
      <c r="V16" s="33">
        <v>73.928001403808594</v>
      </c>
      <c r="W16" s="33">
        <v>106.83065795898401</v>
      </c>
      <c r="X16" s="33">
        <v>325.841064453125</v>
      </c>
      <c r="Y16" s="33">
        <v>103.437858581542</v>
      </c>
      <c r="Z16" s="33">
        <v>138.93933105468699</v>
      </c>
      <c r="AA16" s="33">
        <v>164.74609375</v>
      </c>
      <c r="AB16" s="33">
        <v>477.80441284179602</v>
      </c>
      <c r="AC16" s="33">
        <v>219.33082580566401</v>
      </c>
      <c r="AD16" s="33">
        <v>32.632377624511697</v>
      </c>
      <c r="AE16" s="33">
        <v>28.4203491210937</v>
      </c>
      <c r="AF16" s="33">
        <v>48.270679473876903</v>
      </c>
    </row>
    <row r="17" spans="1:32" x14ac:dyDescent="0.35">
      <c r="A17" s="32">
        <v>45046</v>
      </c>
      <c r="B17" s="33">
        <v>408.67440795898398</v>
      </c>
      <c r="C17" s="33">
        <v>168.55049133300699</v>
      </c>
      <c r="D17" s="33">
        <v>230.30351257324199</v>
      </c>
      <c r="E17" s="33">
        <v>158.64945983886699</v>
      </c>
      <c r="F17" s="33">
        <v>206.77999877929599</v>
      </c>
      <c r="G17" s="33">
        <v>214.82063293457</v>
      </c>
      <c r="H17" s="33">
        <v>197.803298950195</v>
      </c>
      <c r="I17" s="33">
        <v>45.435024261474602</v>
      </c>
      <c r="J17" s="33">
        <v>160.256103515625</v>
      </c>
      <c r="K17" s="33">
        <v>67.987075805664006</v>
      </c>
      <c r="L17" s="33">
        <v>101.69784545898401</v>
      </c>
      <c r="M17" s="33">
        <v>330.91128540039</v>
      </c>
      <c r="N17" s="33">
        <v>290.74856567382801</v>
      </c>
      <c r="O17" s="33">
        <v>194.45431518554599</v>
      </c>
      <c r="P17" s="33">
        <v>119.61930847167901</v>
      </c>
      <c r="Q17" s="33">
        <v>30.5077209472656</v>
      </c>
      <c r="R17" s="33">
        <v>157.54220581054599</v>
      </c>
      <c r="S17" s="33">
        <v>133.92849731445301</v>
      </c>
      <c r="T17" s="33">
        <v>61.689102172851499</v>
      </c>
      <c r="U17" s="33">
        <v>287.361083984375</v>
      </c>
      <c r="V17" s="33">
        <v>82.896308898925696</v>
      </c>
      <c r="W17" s="33">
        <v>111.72661590576099</v>
      </c>
      <c r="X17" s="33">
        <v>304.21008300781199</v>
      </c>
      <c r="Y17" s="33">
        <v>124.5263671875</v>
      </c>
      <c r="Z17" s="33">
        <v>152.47251892089801</v>
      </c>
      <c r="AA17" s="33">
        <v>176.33010864257801</v>
      </c>
      <c r="AB17" s="33">
        <v>482.56051635742102</v>
      </c>
      <c r="AC17" s="33">
        <v>230.49151611328099</v>
      </c>
      <c r="AD17" s="33">
        <v>35.563156127929602</v>
      </c>
      <c r="AE17" s="33">
        <v>32.492877960205</v>
      </c>
      <c r="AF17" s="33">
        <v>49.430423736572202</v>
      </c>
    </row>
    <row r="18" spans="1:32" x14ac:dyDescent="0.35">
      <c r="A18" s="32">
        <v>45016</v>
      </c>
      <c r="B18" s="33">
        <v>402.24856567382801</v>
      </c>
      <c r="C18" s="33">
        <v>163.80230712890599</v>
      </c>
      <c r="D18" s="33">
        <v>232.23439025878901</v>
      </c>
      <c r="E18" s="33">
        <v>161.60061645507801</v>
      </c>
      <c r="F18" s="33">
        <v>212.42999267578099</v>
      </c>
      <c r="G18" s="33">
        <v>223.46502685546801</v>
      </c>
      <c r="H18" s="33">
        <v>199.20927429199199</v>
      </c>
      <c r="I18" s="33">
        <v>49.897006988525298</v>
      </c>
      <c r="J18" s="33">
        <v>155.10371398925699</v>
      </c>
      <c r="K18" s="33">
        <v>69.986122131347599</v>
      </c>
      <c r="L18" s="33">
        <v>99.346397399902301</v>
      </c>
      <c r="M18" s="33">
        <v>315.17697143554602</v>
      </c>
      <c r="N18" s="33">
        <v>285.50509643554602</v>
      </c>
      <c r="O18" s="33">
        <v>185.96929931640599</v>
      </c>
      <c r="P18" s="33">
        <v>124.04790496826099</v>
      </c>
      <c r="Q18" s="33">
        <v>32.089092254638601</v>
      </c>
      <c r="R18" s="33">
        <v>149.16946411132801</v>
      </c>
      <c r="S18" s="33">
        <v>125.26275634765599</v>
      </c>
      <c r="T18" s="33">
        <v>59.650421142578097</v>
      </c>
      <c r="U18" s="33">
        <v>271.67889404296801</v>
      </c>
      <c r="V18" s="33">
        <v>82.030044555664006</v>
      </c>
      <c r="W18" s="33">
        <v>102.94097137451099</v>
      </c>
      <c r="X18" s="33">
        <v>285.438232421875</v>
      </c>
      <c r="Y18" s="33">
        <v>120.51700592041</v>
      </c>
      <c r="Z18" s="33">
        <v>144.07263183593699</v>
      </c>
      <c r="AA18" s="33">
        <v>166.85845947265599</v>
      </c>
      <c r="AB18" s="33">
        <v>463.43814086914</v>
      </c>
      <c r="AC18" s="33">
        <v>223.29142761230401</v>
      </c>
      <c r="AD18" s="33">
        <v>35.038230895996001</v>
      </c>
      <c r="AE18" s="33">
        <v>31.875286102294901</v>
      </c>
      <c r="AF18" s="33">
        <v>48.2779121398925</v>
      </c>
    </row>
    <row r="19" spans="1:32" x14ac:dyDescent="0.35">
      <c r="A19" s="32">
        <v>44985</v>
      </c>
      <c r="B19" s="33">
        <v>387.86724853515602</v>
      </c>
      <c r="C19" s="33">
        <v>146.42874145507801</v>
      </c>
      <c r="D19" s="33">
        <v>222.54154968261699</v>
      </c>
      <c r="E19" s="33">
        <v>170.45706176757801</v>
      </c>
      <c r="F19" s="33">
        <v>201.55000305175699</v>
      </c>
      <c r="G19" s="33">
        <v>233.92347717285099</v>
      </c>
      <c r="H19" s="33">
        <v>163.14260864257801</v>
      </c>
      <c r="I19" s="33">
        <v>46.2129516601562</v>
      </c>
      <c r="J19" s="33">
        <v>152.83174133300699</v>
      </c>
      <c r="K19" s="33">
        <v>71.214805603027301</v>
      </c>
      <c r="L19" s="33">
        <v>98.830467224121094</v>
      </c>
      <c r="M19" s="33">
        <v>336.41296386718699</v>
      </c>
      <c r="N19" s="33">
        <v>284.81637573242102</v>
      </c>
      <c r="O19" s="33">
        <v>186.31961059570301</v>
      </c>
      <c r="P19" s="33">
        <v>122.35406494140599</v>
      </c>
      <c r="Q19" s="33">
        <v>24.486719131469702</v>
      </c>
      <c r="R19" s="33">
        <v>147.49490356445301</v>
      </c>
      <c r="S19" s="33">
        <v>137.79769897460901</v>
      </c>
      <c r="T19" s="33">
        <v>56.791477203369098</v>
      </c>
      <c r="U19" s="33">
        <v>256.42419433593699</v>
      </c>
      <c r="V19" s="33">
        <v>84.082550048828097</v>
      </c>
      <c r="W19" s="33">
        <v>102.08609008789</v>
      </c>
      <c r="X19" s="33">
        <v>246.94416809082</v>
      </c>
      <c r="Y19" s="33">
        <v>116.401741027832</v>
      </c>
      <c r="Z19" s="33">
        <v>133.28825378417901</v>
      </c>
      <c r="AA19" s="33">
        <v>179.26167297363199</v>
      </c>
      <c r="AB19" s="33">
        <v>465.06683349609301</v>
      </c>
      <c r="AC19" s="33">
        <v>217.82453918457</v>
      </c>
      <c r="AD19" s="33">
        <v>34.966156005859297</v>
      </c>
      <c r="AE19" s="33">
        <v>32.750980377197202</v>
      </c>
      <c r="AF19" s="33">
        <v>46.346084594726499</v>
      </c>
    </row>
    <row r="20" spans="1:32" x14ac:dyDescent="0.35">
      <c r="A20" s="32">
        <v>44957</v>
      </c>
      <c r="B20" s="33">
        <v>397.87078857421801</v>
      </c>
      <c r="C20" s="33">
        <v>143.11100769042901</v>
      </c>
      <c r="D20" s="33">
        <v>240.34562683105401</v>
      </c>
      <c r="E20" s="33">
        <v>171.37794494628901</v>
      </c>
      <c r="F20" s="33">
        <v>213</v>
      </c>
      <c r="G20" s="33">
        <v>246.36424255371</v>
      </c>
      <c r="H20" s="33">
        <v>167.49015808105401</v>
      </c>
      <c r="I20" s="33">
        <v>46.4515571594238</v>
      </c>
      <c r="J20" s="33">
        <v>163.97789001464801</v>
      </c>
      <c r="K20" s="33">
        <v>71.755920410156193</v>
      </c>
      <c r="L20" s="33">
        <v>107.64096069335901</v>
      </c>
      <c r="M20" s="33">
        <v>349.95944213867102</v>
      </c>
      <c r="N20" s="33">
        <v>311.35400390625</v>
      </c>
      <c r="O20" s="33">
        <v>201.79261779785099</v>
      </c>
      <c r="P20" s="33">
        <v>125.945343017578</v>
      </c>
      <c r="Q20" s="33">
        <v>27.423357009887599</v>
      </c>
      <c r="R20" s="33">
        <v>156.149658203125</v>
      </c>
      <c r="S20" s="33">
        <v>134.538970947265</v>
      </c>
      <c r="T20" s="33">
        <v>58.518795013427699</v>
      </c>
      <c r="U20" s="33">
        <v>258.32369995117102</v>
      </c>
      <c r="V20" s="33">
        <v>88.637245178222599</v>
      </c>
      <c r="W20" s="33">
        <v>103.21034240722599</v>
      </c>
      <c r="X20" s="33">
        <v>244.73716735839801</v>
      </c>
      <c r="Y20" s="33">
        <v>124.770042419433</v>
      </c>
      <c r="Z20" s="33">
        <v>137.95860290527301</v>
      </c>
      <c r="AA20" s="33">
        <v>185.07179260253901</v>
      </c>
      <c r="AB20" s="33">
        <v>487.78567504882801</v>
      </c>
      <c r="AC20" s="33">
        <v>227.55007934570301</v>
      </c>
      <c r="AD20" s="33">
        <v>37.452796936035099</v>
      </c>
      <c r="AE20" s="33">
        <v>33.533168792724602</v>
      </c>
      <c r="AF20" s="33">
        <v>46.9134712219238</v>
      </c>
    </row>
    <row r="21" spans="1:32" x14ac:dyDescent="0.35">
      <c r="A21" s="32">
        <v>44926</v>
      </c>
      <c r="B21" s="33">
        <v>374.33010864257801</v>
      </c>
      <c r="C21" s="33">
        <v>128.86831665039</v>
      </c>
      <c r="D21" s="33">
        <v>250.09660339355401</v>
      </c>
      <c r="E21" s="33">
        <v>144.24984741210901</v>
      </c>
      <c r="F21" s="33">
        <v>190.49000549316401</v>
      </c>
      <c r="G21" s="33">
        <v>232.82290649414</v>
      </c>
      <c r="H21" s="33">
        <v>132.21122741699199</v>
      </c>
      <c r="I21" s="33">
        <v>45.108097076416001</v>
      </c>
      <c r="J21" s="33">
        <v>169.132232666015</v>
      </c>
      <c r="K21" s="33">
        <v>66.593757629394503</v>
      </c>
      <c r="L21" s="33">
        <v>86.200080871582003</v>
      </c>
      <c r="M21" s="33">
        <v>328.50134277343699</v>
      </c>
      <c r="N21" s="33">
        <v>303.37252807617102</v>
      </c>
      <c r="O21" s="33">
        <v>207.42596435546801</v>
      </c>
      <c r="P21" s="33">
        <v>131.703689575195</v>
      </c>
      <c r="Q21" s="33">
        <v>25.6475315093994</v>
      </c>
      <c r="R21" s="33">
        <v>168.79104614257801</v>
      </c>
      <c r="S21" s="33">
        <v>127.96076965332</v>
      </c>
      <c r="T21" s="33">
        <v>60.704185485839801</v>
      </c>
      <c r="U21" s="33">
        <v>254.58508300781199</v>
      </c>
      <c r="V21" s="33">
        <v>92.365127563476506</v>
      </c>
      <c r="W21" s="33">
        <v>106.611930847167</v>
      </c>
      <c r="X21" s="33">
        <v>236.84623718261699</v>
      </c>
      <c r="Y21" s="33">
        <v>114.65753173828099</v>
      </c>
      <c r="Z21" s="33">
        <v>145.937744140625</v>
      </c>
      <c r="AA21" s="33">
        <v>181.55668640136699</v>
      </c>
      <c r="AB21" s="33">
        <v>518.067626953125</v>
      </c>
      <c r="AC21" s="33">
        <v>205.35946655273401</v>
      </c>
      <c r="AD21" s="33">
        <v>34.948307037353501</v>
      </c>
      <c r="AE21" s="33">
        <v>33.988037109375</v>
      </c>
      <c r="AF21" s="33">
        <v>46.235214233398402</v>
      </c>
    </row>
    <row r="22" spans="1:32" x14ac:dyDescent="0.35">
      <c r="A22" s="32">
        <v>44895</v>
      </c>
      <c r="B22" s="33">
        <v>397.22128295898398</v>
      </c>
      <c r="C22" s="33">
        <v>146.82044982910099</v>
      </c>
      <c r="D22" s="33">
        <v>272.72183227539</v>
      </c>
      <c r="E22" s="33">
        <v>153.85673522949199</v>
      </c>
      <c r="F22" s="33">
        <v>178.88000488281199</v>
      </c>
      <c r="G22" s="33">
        <v>229.761474609375</v>
      </c>
      <c r="H22" s="33">
        <v>159.792221069335</v>
      </c>
      <c r="I22" s="33">
        <v>47.077548980712798</v>
      </c>
      <c r="J22" s="33">
        <v>172.73179626464801</v>
      </c>
      <c r="K22" s="33">
        <v>68.417999267578097</v>
      </c>
      <c r="L22" s="33">
        <v>97.104080200195298</v>
      </c>
      <c r="M22" s="33">
        <v>369.41809082031199</v>
      </c>
      <c r="N22" s="33">
        <v>311.181060791015</v>
      </c>
      <c r="O22" s="33">
        <v>212.507553100585</v>
      </c>
      <c r="P22" s="33">
        <v>139.19142150878901</v>
      </c>
      <c r="Q22" s="33">
        <v>29.179771423339801</v>
      </c>
      <c r="R22" s="33">
        <v>170.08099365234301</v>
      </c>
      <c r="S22" s="33">
        <v>131.85398864746</v>
      </c>
      <c r="T22" s="33">
        <v>60.704185485839801</v>
      </c>
      <c r="U22" s="33">
        <v>263.53076171875</v>
      </c>
      <c r="V22" s="33">
        <v>97.024971008300696</v>
      </c>
      <c r="W22" s="33">
        <v>105.11793518066401</v>
      </c>
      <c r="X22" s="33">
        <v>251.97625732421801</v>
      </c>
      <c r="Y22" s="33">
        <v>107.155784606933</v>
      </c>
      <c r="Z22" s="33">
        <v>143.62677001953099</v>
      </c>
      <c r="AA22" s="33">
        <v>182.894271850585</v>
      </c>
      <c r="AB22" s="33">
        <v>533.60119628906205</v>
      </c>
      <c r="AC22" s="33">
        <v>214.49270629882801</v>
      </c>
      <c r="AD22" s="33">
        <v>34.575756072997997</v>
      </c>
      <c r="AE22" s="33">
        <v>37.754379272460902</v>
      </c>
      <c r="AF22" s="33">
        <v>49.514808654785099</v>
      </c>
    </row>
    <row r="23" spans="1:32" x14ac:dyDescent="0.35">
      <c r="A23" s="32">
        <v>44865</v>
      </c>
      <c r="B23" s="33">
        <v>376.30209350585898</v>
      </c>
      <c r="C23" s="33">
        <v>151.83517456054599</v>
      </c>
      <c r="D23" s="33">
        <v>255.67727661132801</v>
      </c>
      <c r="E23" s="33">
        <v>144.93327331542901</v>
      </c>
      <c r="F23" s="33">
        <v>142.509994506835</v>
      </c>
      <c r="G23" s="33">
        <v>210.37255859375</v>
      </c>
      <c r="H23" s="33">
        <v>162.12551879882801</v>
      </c>
      <c r="I23" s="33">
        <v>43.015548706054602</v>
      </c>
      <c r="J23" s="33">
        <v>169.15240478515599</v>
      </c>
      <c r="K23" s="33">
        <v>55.2387886047363</v>
      </c>
      <c r="L23" s="33">
        <v>105.70623016357401</v>
      </c>
      <c r="M23" s="33">
        <v>327.43502807617102</v>
      </c>
      <c r="N23" s="33">
        <v>282.71218872070301</v>
      </c>
      <c r="O23" s="33">
        <v>196.51335144042901</v>
      </c>
      <c r="P23" s="33">
        <v>127.750076293945</v>
      </c>
      <c r="Q23" s="33">
        <v>27.220680236816399</v>
      </c>
      <c r="R23" s="33">
        <v>165.16424560546801</v>
      </c>
      <c r="S23" s="33">
        <v>120.117073059082</v>
      </c>
      <c r="T23" s="33">
        <v>56.713718414306598</v>
      </c>
      <c r="U23" s="33">
        <v>261.92999267578102</v>
      </c>
      <c r="V23" s="33">
        <v>95.765007019042898</v>
      </c>
      <c r="W23" s="33">
        <v>96.603103637695298</v>
      </c>
      <c r="X23" s="33">
        <v>228.60734558105401</v>
      </c>
      <c r="Y23" s="33">
        <v>90.538787841796804</v>
      </c>
      <c r="Z23" s="33">
        <v>129.67427062988199</v>
      </c>
      <c r="AA23" s="33">
        <v>177.73921203613199</v>
      </c>
      <c r="AB23" s="33">
        <v>540.80017089843705</v>
      </c>
      <c r="AC23" s="33">
        <v>204.30973815917901</v>
      </c>
      <c r="AD23" s="33">
        <v>33.147663116455</v>
      </c>
      <c r="AE23" s="33">
        <v>32.819362640380803</v>
      </c>
      <c r="AF23" s="33">
        <v>46.2369995117187</v>
      </c>
    </row>
    <row r="24" spans="1:32" x14ac:dyDescent="0.35">
      <c r="A24" s="32">
        <v>44834</v>
      </c>
      <c r="B24" s="33">
        <v>348.01687622070301</v>
      </c>
      <c r="C24" s="33">
        <v>136.84376525878901</v>
      </c>
      <c r="D24" s="33">
        <v>213.166900634765</v>
      </c>
      <c r="E24" s="33">
        <v>131.21315002441401</v>
      </c>
      <c r="F24" s="33">
        <v>121.08000183105401</v>
      </c>
      <c r="G24" s="33">
        <v>158.405670166015</v>
      </c>
      <c r="H24" s="33">
        <v>143.42907714843699</v>
      </c>
      <c r="I24" s="33">
        <v>37.525569915771399</v>
      </c>
      <c r="J24" s="33">
        <v>134.34011840820301</v>
      </c>
      <c r="K24" s="33">
        <v>48.671939849853501</v>
      </c>
      <c r="L24" s="33">
        <v>93.591789245605398</v>
      </c>
      <c r="M24" s="33">
        <v>278.52551269531199</v>
      </c>
      <c r="N24" s="33">
        <v>263.43704223632801</v>
      </c>
      <c r="O24" s="33">
        <v>160.82655334472599</v>
      </c>
      <c r="P24" s="33">
        <v>109.754768371582</v>
      </c>
      <c r="Q24" s="33">
        <v>24.6738262176513</v>
      </c>
      <c r="R24" s="33">
        <v>155.09127807617099</v>
      </c>
      <c r="S24" s="33">
        <v>98.831642150878906</v>
      </c>
      <c r="T24" s="33">
        <v>53.084423065185497</v>
      </c>
      <c r="U24" s="33">
        <v>221.65968322753901</v>
      </c>
      <c r="V24" s="33">
        <v>84.124595642089801</v>
      </c>
      <c r="W24" s="33">
        <v>82.208099365234304</v>
      </c>
      <c r="X24" s="33">
        <v>229.36566162109301</v>
      </c>
      <c r="Y24" s="33">
        <v>81.199645996093693</v>
      </c>
      <c r="Z24" s="33">
        <v>120.70997619628901</v>
      </c>
      <c r="AA24" s="33">
        <v>147.61813354492099</v>
      </c>
      <c r="AB24" s="33">
        <v>491.98541259765602</v>
      </c>
      <c r="AC24" s="33">
        <v>175.20573425292901</v>
      </c>
      <c r="AD24" s="33">
        <v>33.121685028076101</v>
      </c>
      <c r="AE24" s="33">
        <v>28.233644485473601</v>
      </c>
      <c r="AF24" s="33">
        <v>42.134044647216797</v>
      </c>
    </row>
    <row r="25" spans="1:32" x14ac:dyDescent="0.35">
      <c r="A25" s="32">
        <v>44804</v>
      </c>
      <c r="B25" s="33">
        <v>383.46676635742102</v>
      </c>
      <c r="C25" s="33">
        <v>155.67712402343699</v>
      </c>
      <c r="D25" s="33">
        <v>227.25822448730401</v>
      </c>
      <c r="E25" s="33">
        <v>147.83485412597599</v>
      </c>
      <c r="F25" s="33">
        <v>160.25</v>
      </c>
      <c r="G25" s="33">
        <v>178.32223510742099</v>
      </c>
      <c r="H25" s="33">
        <v>155.67399597167901</v>
      </c>
      <c r="I25" s="33">
        <v>41.953586578369098</v>
      </c>
      <c r="J25" s="33">
        <v>147.79562377929599</v>
      </c>
      <c r="K25" s="33">
        <v>53.732273101806598</v>
      </c>
      <c r="L25" s="33">
        <v>111.202880859375</v>
      </c>
      <c r="M25" s="33">
        <v>316.18182373046801</v>
      </c>
      <c r="N25" s="33">
        <v>275.35159301757801</v>
      </c>
      <c r="O25" s="33">
        <v>182.38313293457</v>
      </c>
      <c r="P25" s="33">
        <v>118.66004943847599</v>
      </c>
      <c r="Q25" s="33">
        <v>30.562227249145501</v>
      </c>
      <c r="R25" s="33">
        <v>153.17352294921801</v>
      </c>
      <c r="S25" s="33">
        <v>107.560974121093</v>
      </c>
      <c r="T25" s="33">
        <v>58.053001403808501</v>
      </c>
      <c r="U25" s="33">
        <v>242.35202026367099</v>
      </c>
      <c r="V25" s="33">
        <v>94.668708801269503</v>
      </c>
      <c r="W25" s="33">
        <v>80.830993652343693</v>
      </c>
      <c r="X25" s="33">
        <v>257.50210571289</v>
      </c>
      <c r="Y25" s="33">
        <v>103.69279479980401</v>
      </c>
      <c r="Z25" s="33">
        <v>131.88700866699199</v>
      </c>
      <c r="AA25" s="33">
        <v>154.86752319335901</v>
      </c>
      <c r="AB25" s="33">
        <v>504.323638916015</v>
      </c>
      <c r="AC25" s="33">
        <v>195.97599792480401</v>
      </c>
      <c r="AD25" s="33">
        <v>36.471355438232401</v>
      </c>
      <c r="AE25" s="33">
        <v>31.524570465087798</v>
      </c>
      <c r="AF25" s="33">
        <v>43.059886932372997</v>
      </c>
    </row>
    <row r="26" spans="1:32" x14ac:dyDescent="0.35">
      <c r="A26" s="32">
        <v>44773</v>
      </c>
      <c r="B26" s="33">
        <v>399.77853393554602</v>
      </c>
      <c r="C26" s="33">
        <v>160.69195556640599</v>
      </c>
      <c r="D26" s="33">
        <v>232.24554443359301</v>
      </c>
      <c r="E26" s="33">
        <v>149.79949951171801</v>
      </c>
      <c r="F26" s="33">
        <v>159.30999755859301</v>
      </c>
      <c r="G26" s="33">
        <v>191.39399719238199</v>
      </c>
      <c r="H26" s="33">
        <v>183.49430847167901</v>
      </c>
      <c r="I26" s="33">
        <v>42.563377380371001</v>
      </c>
      <c r="J26" s="33">
        <v>151.76519775390599</v>
      </c>
      <c r="K26" s="33">
        <v>59.130619049072202</v>
      </c>
      <c r="L26" s="33">
        <v>105.26966857910099</v>
      </c>
      <c r="M26" s="33">
        <v>314.49179077148398</v>
      </c>
      <c r="N26" s="33">
        <v>285.44183349609301</v>
      </c>
      <c r="O26" s="33">
        <v>184.457595825195</v>
      </c>
      <c r="P26" s="33">
        <v>119.31836700439401</v>
      </c>
      <c r="Q26" s="33">
        <v>34.4180297851562</v>
      </c>
      <c r="R26" s="33">
        <v>164.58056640625</v>
      </c>
      <c r="S26" s="33">
        <v>109.102569580078</v>
      </c>
      <c r="T26" s="33">
        <v>60.367210388183501</v>
      </c>
      <c r="U26" s="33">
        <v>251.62825012207</v>
      </c>
      <c r="V26" s="33">
        <v>107.942077636718</v>
      </c>
      <c r="W26" s="33">
        <v>84.599822998046804</v>
      </c>
      <c r="X26" s="33">
        <v>275.89404296875</v>
      </c>
      <c r="Y26" s="33">
        <v>111.943405151367</v>
      </c>
      <c r="Z26" s="33">
        <v>132.81443786621</v>
      </c>
      <c r="AA26" s="33">
        <v>152.05070495605401</v>
      </c>
      <c r="AB26" s="33">
        <v>526.66876220703102</v>
      </c>
      <c r="AC26" s="33">
        <v>208.82176208496</v>
      </c>
      <c r="AD26" s="33">
        <v>40.292076110839801</v>
      </c>
      <c r="AE26" s="33">
        <v>35.206348419189403</v>
      </c>
      <c r="AF26" s="33">
        <v>42.7114448547363</v>
      </c>
    </row>
    <row r="27" spans="1:32" x14ac:dyDescent="0.35">
      <c r="A27" s="32">
        <v>44742</v>
      </c>
      <c r="B27" s="33">
        <v>366.068267822265</v>
      </c>
      <c r="C27" s="33">
        <v>135.19049072265599</v>
      </c>
      <c r="D27" s="33">
        <v>228.33207702636699</v>
      </c>
      <c r="E27" s="33">
        <v>134.82148742675699</v>
      </c>
      <c r="F27" s="33">
        <v>136.72000122070301</v>
      </c>
      <c r="G27" s="33">
        <v>171.38429260253901</v>
      </c>
      <c r="H27" s="33">
        <v>164.56852722167901</v>
      </c>
      <c r="I27" s="33">
        <v>39.645431518554602</v>
      </c>
      <c r="J27" s="33">
        <v>134.15902709960901</v>
      </c>
      <c r="K27" s="33">
        <v>53.376296997070298</v>
      </c>
      <c r="L27" s="33">
        <v>93.661239624023395</v>
      </c>
      <c r="M27" s="33">
        <v>280.18341064453102</v>
      </c>
      <c r="N27" s="33">
        <v>260.14532470703102</v>
      </c>
      <c r="O27" s="33">
        <v>166.5830078125</v>
      </c>
      <c r="P27" s="33">
        <v>128.80621337890599</v>
      </c>
      <c r="Q27" s="33">
        <v>35.460708618163999</v>
      </c>
      <c r="R27" s="33">
        <v>167.40026855468699</v>
      </c>
      <c r="S27" s="33">
        <v>105.567901611328</v>
      </c>
      <c r="T27" s="33">
        <v>59.181892395019503</v>
      </c>
      <c r="U27" s="33">
        <v>235.87339782714801</v>
      </c>
      <c r="V27" s="33">
        <v>97.5201416015625</v>
      </c>
      <c r="W27" s="33">
        <v>86.332717895507798</v>
      </c>
      <c r="X27" s="33">
        <v>252.39674377441401</v>
      </c>
      <c r="Y27" s="33">
        <v>99.552879333496094</v>
      </c>
      <c r="Z27" s="33">
        <v>136.59355163574199</v>
      </c>
      <c r="AA27" s="33">
        <v>162.04371643066401</v>
      </c>
      <c r="AB27" s="33">
        <v>498.78829956054602</v>
      </c>
      <c r="AC27" s="33">
        <v>193.83770751953099</v>
      </c>
      <c r="AD27" s="33">
        <v>43.719776153564403</v>
      </c>
      <c r="AE27" s="33">
        <v>33.677951812744098</v>
      </c>
      <c r="AF27" s="33">
        <v>39.324935913085902</v>
      </c>
    </row>
    <row r="28" spans="1:32" x14ac:dyDescent="0.35">
      <c r="A28" s="32">
        <v>44712</v>
      </c>
      <c r="B28" s="33">
        <v>398.96722412109301</v>
      </c>
      <c r="C28" s="33">
        <v>147.17491149902301</v>
      </c>
      <c r="D28" s="33">
        <v>240.945220947265</v>
      </c>
      <c r="E28" s="33">
        <v>163.58174133300699</v>
      </c>
      <c r="F28" s="33">
        <v>131.39999389648401</v>
      </c>
      <c r="G28" s="33">
        <v>206.94396972656199</v>
      </c>
      <c r="H28" s="33">
        <v>159.78224182128901</v>
      </c>
      <c r="I28" s="33">
        <v>41.886180877685497</v>
      </c>
      <c r="J28" s="33">
        <v>161.84706115722599</v>
      </c>
      <c r="K28" s="33">
        <v>65.159782409667898</v>
      </c>
      <c r="L28" s="33">
        <v>109.575714111328</v>
      </c>
      <c r="M28" s="33">
        <v>308.322509765625</v>
      </c>
      <c r="N28" s="33">
        <v>285.3564453125</v>
      </c>
      <c r="O28" s="33">
        <v>185.5693359375</v>
      </c>
      <c r="P28" s="33">
        <v>126.662300109863</v>
      </c>
      <c r="Q28" s="33">
        <v>42.105445861816399</v>
      </c>
      <c r="R28" s="33">
        <v>169.30523681640599</v>
      </c>
      <c r="S28" s="33">
        <v>123.960960388183</v>
      </c>
      <c r="T28" s="33">
        <v>59.196338653564403</v>
      </c>
      <c r="U28" s="33">
        <v>239.63764953613199</v>
      </c>
      <c r="V28" s="33">
        <v>112.50122833251901</v>
      </c>
      <c r="W28" s="33">
        <v>86.439651489257798</v>
      </c>
      <c r="X28" s="33">
        <v>267.177154541015</v>
      </c>
      <c r="Y28" s="33">
        <v>115.48549652099599</v>
      </c>
      <c r="Z28" s="33">
        <v>140.47885131835901</v>
      </c>
      <c r="AA28" s="33">
        <v>170.63194274902301</v>
      </c>
      <c r="AB28" s="33">
        <v>480.71090698242102</v>
      </c>
      <c r="AC28" s="33">
        <v>208.88082885742099</v>
      </c>
      <c r="AD28" s="33">
        <v>44.184974670410099</v>
      </c>
      <c r="AE28" s="33">
        <v>38.947360992431598</v>
      </c>
      <c r="AF28" s="33">
        <v>41.6052436828613</v>
      </c>
    </row>
    <row r="29" spans="1:32" x14ac:dyDescent="0.35">
      <c r="A29" s="32">
        <v>44681</v>
      </c>
      <c r="B29" s="33">
        <v>398.068756103515</v>
      </c>
      <c r="C29" s="33">
        <v>155.65765380859301</v>
      </c>
      <c r="D29" s="33">
        <v>217.09977722167901</v>
      </c>
      <c r="E29" s="33">
        <v>169.28901672363199</v>
      </c>
      <c r="F29" s="33">
        <v>148.83999633789</v>
      </c>
      <c r="G29" s="33">
        <v>201.85302734375</v>
      </c>
      <c r="H29" s="33">
        <v>175.43739318847599</v>
      </c>
      <c r="I29" s="33">
        <v>45.540176391601499</v>
      </c>
      <c r="J29" s="33">
        <v>143.99220275878901</v>
      </c>
      <c r="K29" s="33">
        <v>63.005771636962798</v>
      </c>
      <c r="L29" s="33">
        <v>110.756385803222</v>
      </c>
      <c r="M29" s="33">
        <v>286.41925048828102</v>
      </c>
      <c r="N29" s="33">
        <v>283.14144897460898</v>
      </c>
      <c r="O29" s="33">
        <v>184.51739501953099</v>
      </c>
      <c r="P29" s="33">
        <v>119.168258666992</v>
      </c>
      <c r="Q29" s="33">
        <v>40.994644165038999</v>
      </c>
      <c r="R29" s="33">
        <v>169.09568786621</v>
      </c>
      <c r="S29" s="33">
        <v>111.89580535888599</v>
      </c>
      <c r="T29" s="33">
        <v>60.3451538085937</v>
      </c>
      <c r="U29" s="33">
        <v>236.73970031738199</v>
      </c>
      <c r="V29" s="33">
        <v>107.59326934814401</v>
      </c>
      <c r="W29" s="33">
        <v>83.302558898925696</v>
      </c>
      <c r="X29" s="33">
        <v>272.09591674804602</v>
      </c>
      <c r="Y29" s="33">
        <v>121.16989135742099</v>
      </c>
      <c r="Z29" s="33">
        <v>152.51473999023401</v>
      </c>
      <c r="AA29" s="33">
        <v>163.02667236328099</v>
      </c>
      <c r="AB29" s="33">
        <v>492.10015869140602</v>
      </c>
      <c r="AC29" s="33">
        <v>209.42596435546801</v>
      </c>
      <c r="AD29" s="33">
        <v>39.886219024658203</v>
      </c>
      <c r="AE29" s="33">
        <v>37.23921585083</v>
      </c>
      <c r="AF29" s="33">
        <v>49.3052368164062</v>
      </c>
    </row>
    <row r="30" spans="1:32" x14ac:dyDescent="0.35">
      <c r="A30" s="32">
        <v>44651</v>
      </c>
      <c r="B30" s="33">
        <v>436.36831665039</v>
      </c>
      <c r="C30" s="33">
        <v>172.4033203125</v>
      </c>
      <c r="D30" s="33">
        <v>225.13430786132801</v>
      </c>
      <c r="E30" s="33">
        <v>180.68476867675699</v>
      </c>
      <c r="F30" s="33">
        <v>191.5</v>
      </c>
      <c r="G30" s="33">
        <v>212.60681152343699</v>
      </c>
      <c r="H30" s="33">
        <v>211.71347045898401</v>
      </c>
      <c r="I30" s="33">
        <v>51.491409301757798</v>
      </c>
      <c r="J30" s="33">
        <v>149.65374755859301</v>
      </c>
      <c r="K30" s="33">
        <v>70.316467285156193</v>
      </c>
      <c r="L30" s="33">
        <v>136.08659362792901</v>
      </c>
      <c r="M30" s="33">
        <v>309.49288940429602</v>
      </c>
      <c r="N30" s="33">
        <v>282.13293457031199</v>
      </c>
      <c r="O30" s="33">
        <v>185.53765869140599</v>
      </c>
      <c r="P30" s="33">
        <v>117.194282531738</v>
      </c>
      <c r="Q30" s="33">
        <v>46.609188079833899</v>
      </c>
      <c r="R30" s="33">
        <v>166.06906127929599</v>
      </c>
      <c r="S30" s="33">
        <v>126.854934692382</v>
      </c>
      <c r="T30" s="33">
        <v>57.907436370849602</v>
      </c>
      <c r="U30" s="33">
        <v>234.95338439941401</v>
      </c>
      <c r="V30" s="33">
        <v>111.06979370117099</v>
      </c>
      <c r="W30" s="33">
        <v>77.065887451171804</v>
      </c>
      <c r="X30" s="33">
        <v>302.28414916992102</v>
      </c>
      <c r="Y30" s="33">
        <v>130.75076293945301</v>
      </c>
      <c r="Z30" s="33">
        <v>144.34281921386699</v>
      </c>
      <c r="AA30" s="33">
        <v>174.14860534667901</v>
      </c>
      <c r="AB30" s="33">
        <v>493.47424316406199</v>
      </c>
      <c r="AC30" s="33">
        <v>217.91583251953099</v>
      </c>
      <c r="AD30" s="33">
        <v>43.355537414550703</v>
      </c>
      <c r="AE30" s="33">
        <v>39.320743560791001</v>
      </c>
      <c r="AF30" s="33">
        <v>47.993572235107401</v>
      </c>
    </row>
    <row r="31" spans="1:32" x14ac:dyDescent="0.35">
      <c r="A31" s="32">
        <v>44620</v>
      </c>
      <c r="B31" s="33">
        <v>420.55935668945301</v>
      </c>
      <c r="C31" s="33">
        <v>163.03323364257801</v>
      </c>
      <c r="D31" s="33">
        <v>210.852783203125</v>
      </c>
      <c r="E31" s="33">
        <v>187.97015380859301</v>
      </c>
      <c r="F31" s="33">
        <v>205.33999633789</v>
      </c>
      <c r="G31" s="33">
        <v>178.98207092285099</v>
      </c>
      <c r="H31" s="33">
        <v>209.92855834960901</v>
      </c>
      <c r="I31" s="33">
        <v>51.500640869140597</v>
      </c>
      <c r="J31" s="33">
        <v>132.34747314453099</v>
      </c>
      <c r="K31" s="33">
        <v>73.938385009765597</v>
      </c>
      <c r="L31" s="33">
        <v>147.29817199707</v>
      </c>
      <c r="M31" s="33">
        <v>318.10922241210898</v>
      </c>
      <c r="N31" s="33">
        <v>295.89929199218699</v>
      </c>
      <c r="O31" s="33">
        <v>180.93211364746</v>
      </c>
      <c r="P31" s="33">
        <v>110.42510223388599</v>
      </c>
      <c r="Q31" s="33">
        <v>44.859935760497997</v>
      </c>
      <c r="R31" s="33">
        <v>154.20632934570301</v>
      </c>
      <c r="S31" s="33">
        <v>131.95442199707</v>
      </c>
      <c r="T31" s="33">
        <v>57.689990997314403</v>
      </c>
      <c r="U31" s="33">
        <v>232.56854248046801</v>
      </c>
      <c r="V31" s="33">
        <v>110.898216247558</v>
      </c>
      <c r="W31" s="33">
        <v>71.294006347656193</v>
      </c>
      <c r="X31" s="33">
        <v>292.9501953125</v>
      </c>
      <c r="Y31" s="33">
        <v>132.38235473632801</v>
      </c>
      <c r="Z31" s="33">
        <v>147.26177978515599</v>
      </c>
      <c r="AA31" s="33">
        <v>162.90504455566401</v>
      </c>
      <c r="AB31" s="33">
        <v>459.11859130859301</v>
      </c>
      <c r="AC31" s="33">
        <v>212.36398315429599</v>
      </c>
      <c r="AD31" s="33">
        <v>45.679065704345703</v>
      </c>
      <c r="AE31" s="33">
        <v>40.480091094970703</v>
      </c>
      <c r="AF31" s="33">
        <v>43.391208648681598</v>
      </c>
    </row>
    <row r="32" spans="1:32" x14ac:dyDescent="0.35">
      <c r="A32" s="32">
        <v>44592</v>
      </c>
      <c r="B32" s="33">
        <v>433.350494384765</v>
      </c>
      <c r="C32" s="33">
        <v>172.35157775878901</v>
      </c>
      <c r="D32" s="33">
        <v>209.66946411132801</v>
      </c>
      <c r="E32" s="33">
        <v>173.74725341796801</v>
      </c>
      <c r="F32" s="33">
        <v>200.24000549316401</v>
      </c>
      <c r="G32" s="33">
        <v>192.32127380371</v>
      </c>
      <c r="H32" s="33">
        <v>231.96543884277301</v>
      </c>
      <c r="I32" s="33">
        <v>51.408298492431598</v>
      </c>
      <c r="J32" s="33">
        <v>119.44864654541</v>
      </c>
      <c r="K32" s="33">
        <v>72.882873535156193</v>
      </c>
      <c r="L32" s="33">
        <v>141.85113525390599</v>
      </c>
      <c r="M32" s="33">
        <v>330.589752197265</v>
      </c>
      <c r="N32" s="33">
        <v>343.82144165039</v>
      </c>
      <c r="O32" s="33">
        <v>193.90986633300699</v>
      </c>
      <c r="P32" s="33">
        <v>118.961143493652</v>
      </c>
      <c r="Q32" s="33">
        <v>45.566143035888601</v>
      </c>
      <c r="R32" s="33">
        <v>160.41046142578099</v>
      </c>
      <c r="S32" s="33">
        <v>138.28227233886699</v>
      </c>
      <c r="T32" s="33">
        <v>56.549903869628899</v>
      </c>
      <c r="U32" s="33">
        <v>245.15299987792901</v>
      </c>
      <c r="V32" s="33">
        <v>122.67107391357401</v>
      </c>
      <c r="W32" s="33">
        <v>75.855766296386705</v>
      </c>
      <c r="X32" s="33">
        <v>304.27279663085898</v>
      </c>
      <c r="Y32" s="33">
        <v>143.55078125</v>
      </c>
      <c r="Z32" s="33">
        <v>151.56938171386699</v>
      </c>
      <c r="AA32" s="33">
        <v>157.54846191406199</v>
      </c>
      <c r="AB32" s="33">
        <v>455.93475341796801</v>
      </c>
      <c r="AC32" s="33">
        <v>221.87835693359301</v>
      </c>
      <c r="AD32" s="33">
        <v>45.304576873779297</v>
      </c>
      <c r="AE32" s="33">
        <v>43.267078399658203</v>
      </c>
      <c r="AF32" s="33">
        <v>44.884021759033203</v>
      </c>
    </row>
    <row r="33" spans="1:32" x14ac:dyDescent="0.35">
      <c r="A33" s="32">
        <v>44561</v>
      </c>
      <c r="B33" s="33">
        <v>457.47857666015602</v>
      </c>
      <c r="C33" s="33">
        <v>175.10281372070301</v>
      </c>
      <c r="D33" s="33">
        <v>207.66639709472599</v>
      </c>
      <c r="E33" s="33">
        <v>157.67929077148401</v>
      </c>
      <c r="F33" s="33">
        <v>201.32000732421801</v>
      </c>
      <c r="G33" s="33">
        <v>196.311279296875</v>
      </c>
      <c r="H33" s="33">
        <v>253.40402221679599</v>
      </c>
      <c r="I33" s="33">
        <v>58.176029205322202</v>
      </c>
      <c r="J33" s="33">
        <v>106.7333984375</v>
      </c>
      <c r="K33" s="33">
        <v>76.860023498535099</v>
      </c>
      <c r="L33" s="33">
        <v>153.67784118652301</v>
      </c>
      <c r="M33" s="33">
        <v>356.566802978515</v>
      </c>
      <c r="N33" s="33">
        <v>388.82043457031199</v>
      </c>
      <c r="O33" s="33">
        <v>197.73155212402301</v>
      </c>
      <c r="P33" s="33">
        <v>119.04132080078099</v>
      </c>
      <c r="Q33" s="33">
        <v>48.067516326904297</v>
      </c>
      <c r="R33" s="33">
        <v>159.27459716796801</v>
      </c>
      <c r="S33" s="33">
        <v>146.47731018066401</v>
      </c>
      <c r="T33" s="33">
        <v>54.8814888000488</v>
      </c>
      <c r="U33" s="33">
        <v>253.29794311523401</v>
      </c>
      <c r="V33" s="33">
        <v>131.249588012695</v>
      </c>
      <c r="W33" s="33">
        <v>71.349845886230398</v>
      </c>
      <c r="X33" s="33">
        <v>329.06625366210898</v>
      </c>
      <c r="Y33" s="33">
        <v>161.58305358886699</v>
      </c>
      <c r="Z33" s="33">
        <v>153.69630432128901</v>
      </c>
      <c r="AA33" s="33">
        <v>148.30490112304599</v>
      </c>
      <c r="AB33" s="33">
        <v>484.46389770507801</v>
      </c>
      <c r="AC33" s="33">
        <v>212.59786987304599</v>
      </c>
      <c r="AD33" s="33">
        <v>43.697196960449197</v>
      </c>
      <c r="AE33" s="33">
        <v>45.353916168212798</v>
      </c>
      <c r="AF33" s="33">
        <v>46.45068359375</v>
      </c>
    </row>
    <row r="34" spans="1:32" x14ac:dyDescent="0.35">
      <c r="A34" s="32">
        <v>44530</v>
      </c>
      <c r="B34" s="33">
        <v>437.25640869140602</v>
      </c>
      <c r="C34" s="33">
        <v>163.00328063964801</v>
      </c>
      <c r="D34" s="33">
        <v>183.58309936523401</v>
      </c>
      <c r="E34" s="33">
        <v>146.78823852539</v>
      </c>
      <c r="F34" s="33">
        <v>197.850006103515</v>
      </c>
      <c r="G34" s="33">
        <v>183.59672546386699</v>
      </c>
      <c r="H34" s="33">
        <v>284.14593505859301</v>
      </c>
      <c r="I34" s="33">
        <v>50.345180511474602</v>
      </c>
      <c r="J34" s="33">
        <v>102.65869903564401</v>
      </c>
      <c r="K34" s="33">
        <v>70.3709716796875</v>
      </c>
      <c r="L34" s="33">
        <v>143.766021728515</v>
      </c>
      <c r="M34" s="33">
        <v>353.24859619140602</v>
      </c>
      <c r="N34" s="33">
        <v>373.78326416015602</v>
      </c>
      <c r="O34" s="33">
        <v>191.78565979003901</v>
      </c>
      <c r="P34" s="33">
        <v>104.292518615722</v>
      </c>
      <c r="Q34" s="33">
        <v>45.920814514160099</v>
      </c>
      <c r="R34" s="33">
        <v>145.17851257324199</v>
      </c>
      <c r="S34" s="33">
        <v>146.92131042480401</v>
      </c>
      <c r="T34" s="33">
        <v>48.615684509277301</v>
      </c>
      <c r="U34" s="33">
        <v>231.12129211425699</v>
      </c>
      <c r="V34" s="33">
        <v>125.641403198242</v>
      </c>
      <c r="W34" s="33">
        <v>69.083854675292898</v>
      </c>
      <c r="X34" s="33">
        <v>323.45983886718699</v>
      </c>
      <c r="Y34" s="33">
        <v>163.78022766113199</v>
      </c>
      <c r="Z34" s="33">
        <v>135.84429931640599</v>
      </c>
      <c r="AA34" s="33">
        <v>138.51956176757801</v>
      </c>
      <c r="AB34" s="33">
        <v>427.189453125</v>
      </c>
      <c r="AC34" s="33">
        <v>190.09313964843699</v>
      </c>
      <c r="AD34" s="33">
        <v>42.275951385497997</v>
      </c>
      <c r="AE34" s="33">
        <v>38.954280853271399</v>
      </c>
      <c r="AF34" s="33">
        <v>44.966224670410099</v>
      </c>
    </row>
    <row r="35" spans="1:32" x14ac:dyDescent="0.35">
      <c r="A35" s="32">
        <v>44500</v>
      </c>
      <c r="B35" s="33">
        <v>440.79815673828102</v>
      </c>
      <c r="C35" s="33">
        <v>147.50338745117099</v>
      </c>
      <c r="D35" s="33">
        <v>189.460205078125</v>
      </c>
      <c r="E35" s="33">
        <v>167.49085998535099</v>
      </c>
      <c r="F35" s="33">
        <v>207.02999877929599</v>
      </c>
      <c r="G35" s="33">
        <v>193.718994140625</v>
      </c>
      <c r="H35" s="33">
        <v>298.83386230468699</v>
      </c>
      <c r="I35" s="33">
        <v>51.382556915283203</v>
      </c>
      <c r="J35" s="33">
        <v>102.94235992431599</v>
      </c>
      <c r="K35" s="33">
        <v>65.964408874511705</v>
      </c>
      <c r="L35" s="33">
        <v>167.74688720703099</v>
      </c>
      <c r="M35" s="33">
        <v>383.25231933593699</v>
      </c>
      <c r="N35" s="33">
        <v>346.84655761718699</v>
      </c>
      <c r="O35" s="33">
        <v>206.42687988281199</v>
      </c>
      <c r="P35" s="33">
        <v>105.115058898925</v>
      </c>
      <c r="Q35" s="33">
        <v>45.418296813964801</v>
      </c>
      <c r="R35" s="33">
        <v>150.66244506835901</v>
      </c>
      <c r="S35" s="33">
        <v>157.15206909179599</v>
      </c>
      <c r="T35" s="33">
        <v>51.847038269042898</v>
      </c>
      <c r="U35" s="33">
        <v>230.73971557617099</v>
      </c>
      <c r="V35" s="33">
        <v>130.95968627929599</v>
      </c>
      <c r="W35" s="33">
        <v>81.201896667480398</v>
      </c>
      <c r="X35" s="33">
        <v>323.87503051757801</v>
      </c>
      <c r="Y35" s="33">
        <v>161.89317321777301</v>
      </c>
      <c r="Z35" s="33">
        <v>134.35035705566401</v>
      </c>
      <c r="AA35" s="33">
        <v>151.65040588378901</v>
      </c>
      <c r="AB35" s="33">
        <v>442.81646728515602</v>
      </c>
      <c r="AC35" s="33">
        <v>207.38650512695301</v>
      </c>
      <c r="AD35" s="33">
        <v>44.563404083251903</v>
      </c>
      <c r="AE35" s="33">
        <v>40.493278503417898</v>
      </c>
      <c r="AF35" s="33">
        <v>47.77681350708</v>
      </c>
    </row>
    <row r="36" spans="1:32" x14ac:dyDescent="0.35">
      <c r="A36" s="32">
        <v>44469</v>
      </c>
      <c r="B36" s="33">
        <v>411.89788818359301</v>
      </c>
      <c r="C36" s="33">
        <v>139.33061218261699</v>
      </c>
      <c r="D36" s="33">
        <v>194.65968322753901</v>
      </c>
      <c r="E36" s="33">
        <v>161.06661987304599</v>
      </c>
      <c r="F36" s="33">
        <v>219.94000244140599</v>
      </c>
      <c r="G36" s="33">
        <v>181.28533935546801</v>
      </c>
      <c r="H36" s="33">
        <v>270.44519042968699</v>
      </c>
      <c r="I36" s="33">
        <v>49.633480072021399</v>
      </c>
      <c r="J36" s="33">
        <v>91.217597961425696</v>
      </c>
      <c r="K36" s="33">
        <v>64.438499450683594</v>
      </c>
      <c r="L36" s="33">
        <v>167.84608459472599</v>
      </c>
      <c r="M36" s="33">
        <v>350.504150390625</v>
      </c>
      <c r="N36" s="33">
        <v>306.278228759765</v>
      </c>
      <c r="O36" s="33">
        <v>200.44044494628901</v>
      </c>
      <c r="P36" s="33">
        <v>116.73567199707</v>
      </c>
      <c r="Q36" s="33">
        <v>49.3854370117187</v>
      </c>
      <c r="R36" s="33">
        <v>149.38595581054599</v>
      </c>
      <c r="S36" s="33">
        <v>150.50996398925699</v>
      </c>
      <c r="T36" s="33">
        <v>48.259971618652301</v>
      </c>
      <c r="U36" s="33">
        <v>226.56752014160099</v>
      </c>
      <c r="V36" s="33">
        <v>128.57029724121</v>
      </c>
      <c r="W36" s="33">
        <v>69.268310546875</v>
      </c>
      <c r="X36" s="33">
        <v>275.33581542968699</v>
      </c>
      <c r="Y36" s="33">
        <v>140.544830322265</v>
      </c>
      <c r="Z36" s="33">
        <v>130.54382324218699</v>
      </c>
      <c r="AA36" s="33">
        <v>143.28926086425699</v>
      </c>
      <c r="AB36" s="33">
        <v>375.75973510742102</v>
      </c>
      <c r="AC36" s="33">
        <v>218.13925170898401</v>
      </c>
      <c r="AD36" s="33">
        <v>44.888107299804602</v>
      </c>
      <c r="AE36" s="33">
        <v>40.519119262695298</v>
      </c>
      <c r="AF36" s="33">
        <v>44.566539764404297</v>
      </c>
    </row>
    <row r="37" spans="1:32" x14ac:dyDescent="0.35">
      <c r="A37" s="32">
        <v>44439</v>
      </c>
      <c r="B37" s="33">
        <v>432.03302001953102</v>
      </c>
      <c r="C37" s="33">
        <v>149.50224304199199</v>
      </c>
      <c r="D37" s="33">
        <v>206.45002746582</v>
      </c>
      <c r="E37" s="33">
        <v>159.55723571777301</v>
      </c>
      <c r="F37" s="33">
        <v>219.5</v>
      </c>
      <c r="G37" s="33">
        <v>199.13343811035099</v>
      </c>
      <c r="H37" s="33">
        <v>264.51217651367102</v>
      </c>
      <c r="I37" s="33">
        <v>53.819000244140597</v>
      </c>
      <c r="J37" s="33">
        <v>87.009628295898395</v>
      </c>
      <c r="K37" s="33">
        <v>70.153518676757798</v>
      </c>
      <c r="L37" s="33">
        <v>179.88116455078099</v>
      </c>
      <c r="M37" s="33">
        <v>383.40066528320301</v>
      </c>
      <c r="N37" s="33">
        <v>302.79797363281199</v>
      </c>
      <c r="O37" s="33">
        <v>218.97561645507801</v>
      </c>
      <c r="P37" s="33">
        <v>117.92041778564401</v>
      </c>
      <c r="Q37" s="33">
        <v>50.108432769775298</v>
      </c>
      <c r="R37" s="33">
        <v>160.143630981445</v>
      </c>
      <c r="S37" s="33">
        <v>147.07107543945301</v>
      </c>
      <c r="T37" s="33">
        <v>51.403911590576101</v>
      </c>
      <c r="U37" s="33">
        <v>223.13771057128901</v>
      </c>
      <c r="V37" s="33">
        <v>142.73049926757801</v>
      </c>
      <c r="W37" s="33">
        <v>69.731605529785099</v>
      </c>
      <c r="X37" s="33">
        <v>294.82965087890602</v>
      </c>
      <c r="Y37" s="33">
        <v>159.42544555664</v>
      </c>
      <c r="Z37" s="33">
        <v>132.96235656738199</v>
      </c>
      <c r="AA37" s="33">
        <v>149.71293640136699</v>
      </c>
      <c r="AB37" s="33">
        <v>398.91076660156199</v>
      </c>
      <c r="AC37" s="33">
        <v>224.35780334472599</v>
      </c>
      <c r="AD37" s="33">
        <v>45.710906982421797</v>
      </c>
      <c r="AE37" s="33">
        <v>43.705528259277301</v>
      </c>
      <c r="AF37" s="33">
        <v>47.354747772216797</v>
      </c>
    </row>
    <row r="38" spans="1:32" x14ac:dyDescent="0.35">
      <c r="A38" s="32">
        <v>44408</v>
      </c>
      <c r="B38" s="33">
        <v>419.54739379882801</v>
      </c>
      <c r="C38" s="33">
        <v>143.40890502929599</v>
      </c>
      <c r="D38" s="33">
        <v>219.41125488281199</v>
      </c>
      <c r="E38" s="33">
        <v>163.950912475585</v>
      </c>
      <c r="F38" s="33">
        <v>226.47999572753901</v>
      </c>
      <c r="G38" s="33">
        <v>195.24270629882801</v>
      </c>
      <c r="H38" s="33">
        <v>241.23886108398401</v>
      </c>
      <c r="I38" s="33">
        <v>50.490638732910099</v>
      </c>
      <c r="J38" s="33">
        <v>90.323532104492102</v>
      </c>
      <c r="K38" s="33">
        <v>71.129714965820298</v>
      </c>
      <c r="L38" s="33">
        <v>174.642486572265</v>
      </c>
      <c r="M38" s="33">
        <v>345.90267944335898</v>
      </c>
      <c r="N38" s="33">
        <v>304.66390991210898</v>
      </c>
      <c r="O38" s="33">
        <v>219.87411499023401</v>
      </c>
      <c r="P38" s="33">
        <v>117.093307495117</v>
      </c>
      <c r="Q38" s="33">
        <v>49.471794128417898</v>
      </c>
      <c r="R38" s="33">
        <v>158.34239196777301</v>
      </c>
      <c r="S38" s="33">
        <v>139.55891418457</v>
      </c>
      <c r="T38" s="33">
        <v>52.061172485351499</v>
      </c>
      <c r="U38" s="33">
        <v>226.82746887207</v>
      </c>
      <c r="V38" s="33">
        <v>143.976806640625</v>
      </c>
      <c r="W38" s="33">
        <v>70.261756896972599</v>
      </c>
      <c r="X38" s="33">
        <v>277.72433471679602</v>
      </c>
      <c r="Y38" s="33">
        <v>161.83898925781199</v>
      </c>
      <c r="Z38" s="33">
        <v>132.81295776367099</v>
      </c>
      <c r="AA38" s="33">
        <v>139.59834289550699</v>
      </c>
      <c r="AB38" s="33">
        <v>395.02972412109301</v>
      </c>
      <c r="AC38" s="33">
        <v>240.96142578125</v>
      </c>
      <c r="AD38" s="33">
        <v>46.359172821044901</v>
      </c>
      <c r="AE38" s="33">
        <v>40.209281921386697</v>
      </c>
      <c r="AF38" s="33">
        <v>45.4130249023437</v>
      </c>
    </row>
    <row r="39" spans="1:32" x14ac:dyDescent="0.35">
      <c r="A39" s="32">
        <v>44377</v>
      </c>
      <c r="B39" s="33">
        <v>409.549224853515</v>
      </c>
      <c r="C39" s="33">
        <v>134.65846252441401</v>
      </c>
      <c r="D39" s="33">
        <v>221.41882324218699</v>
      </c>
      <c r="E39" s="33">
        <v>158.441970825195</v>
      </c>
      <c r="F39" s="33">
        <v>239.55999755859301</v>
      </c>
      <c r="G39" s="33">
        <v>204.420166015625</v>
      </c>
      <c r="H39" s="33">
        <v>243.57218933105401</v>
      </c>
      <c r="I39" s="33">
        <v>47.994880676269503</v>
      </c>
      <c r="J39" s="33">
        <v>92.922966003417898</v>
      </c>
      <c r="K39" s="33">
        <v>73.070022583007798</v>
      </c>
      <c r="L39" s="33">
        <v>174.394439697265</v>
      </c>
      <c r="M39" s="33">
        <v>350.19323730468699</v>
      </c>
      <c r="N39" s="33">
        <v>296.03057861328102</v>
      </c>
      <c r="O39" s="33">
        <v>206.29360961914</v>
      </c>
      <c r="P39" s="33">
        <v>121.770050048828</v>
      </c>
      <c r="Q39" s="33">
        <v>51.700424194335902</v>
      </c>
      <c r="R39" s="33">
        <v>151.48277282714801</v>
      </c>
      <c r="S39" s="33">
        <v>142.19676208496</v>
      </c>
      <c r="T39" s="33">
        <v>49.3955879211425</v>
      </c>
      <c r="U39" s="33">
        <v>215.874420166015</v>
      </c>
      <c r="V39" s="33">
        <v>144.47871398925699</v>
      </c>
      <c r="W39" s="33">
        <v>71.084365844726506</v>
      </c>
      <c r="X39" s="33">
        <v>264.06765747070301</v>
      </c>
      <c r="Y39" s="33">
        <v>149.25978088378901</v>
      </c>
      <c r="Z39" s="33">
        <v>125.208778381347</v>
      </c>
      <c r="AA39" s="33">
        <v>140.33888244628901</v>
      </c>
      <c r="AB39" s="33">
        <v>383.74093627929602</v>
      </c>
      <c r="AC39" s="33">
        <v>228.668365478515</v>
      </c>
      <c r="AD39" s="33">
        <v>46.049629211425703</v>
      </c>
      <c r="AE39" s="33">
        <v>44.865543365478501</v>
      </c>
      <c r="AF39" s="33">
        <v>44.925601959228501</v>
      </c>
    </row>
    <row r="40" spans="1:32" x14ac:dyDescent="0.35">
      <c r="A40" s="32">
        <v>44347</v>
      </c>
      <c r="B40" s="33">
        <v>400.56555175781199</v>
      </c>
      <c r="C40" s="33">
        <v>122.515998840332</v>
      </c>
      <c r="D40" s="33">
        <v>216.14108276367099</v>
      </c>
      <c r="E40" s="33">
        <v>153.55148315429599</v>
      </c>
      <c r="F40" s="33">
        <v>247.02000427246</v>
      </c>
      <c r="G40" s="33">
        <v>226.44679260253901</v>
      </c>
      <c r="H40" s="33">
        <v>237.41981506347599</v>
      </c>
      <c r="I40" s="33">
        <v>47.904323577880803</v>
      </c>
      <c r="J40" s="33">
        <v>92.080131530761705</v>
      </c>
      <c r="K40" s="33">
        <v>79.847465515136705</v>
      </c>
      <c r="L40" s="33">
        <v>177.25189208984301</v>
      </c>
      <c r="M40" s="33">
        <v>343.26376342773398</v>
      </c>
      <c r="N40" s="33">
        <v>294.504791259765</v>
      </c>
      <c r="O40" s="33">
        <v>217.16555786132801</v>
      </c>
      <c r="P40" s="33">
        <v>119.40260314941401</v>
      </c>
      <c r="Q40" s="33">
        <v>52.602920532226499</v>
      </c>
      <c r="R40" s="33">
        <v>155.62983703613199</v>
      </c>
      <c r="S40" s="33">
        <v>150.15043640136699</v>
      </c>
      <c r="T40" s="33">
        <v>50.095310211181598</v>
      </c>
      <c r="U40" s="33">
        <v>218.58467102050699</v>
      </c>
      <c r="V40" s="33">
        <v>147.68644714355401</v>
      </c>
      <c r="W40" s="33">
        <v>65.624847412109304</v>
      </c>
      <c r="X40" s="33">
        <v>243.38284301757801</v>
      </c>
      <c r="Y40" s="33">
        <v>131.84019470214801</v>
      </c>
      <c r="Z40" s="33">
        <v>125.13457489013599</v>
      </c>
      <c r="AA40" s="33">
        <v>148.86734008789</v>
      </c>
      <c r="AB40" s="33">
        <v>393.30172729492102</v>
      </c>
      <c r="AC40" s="33">
        <v>222.29202270507801</v>
      </c>
      <c r="AD40" s="33">
        <v>46.42769241333</v>
      </c>
      <c r="AE40" s="33">
        <v>44.908180236816399</v>
      </c>
      <c r="AF40" s="33">
        <v>45.247360229492102</v>
      </c>
    </row>
    <row r="41" spans="1:32" x14ac:dyDescent="0.35">
      <c r="A41" s="32">
        <v>44316</v>
      </c>
      <c r="B41" s="33">
        <v>397.95263671875</v>
      </c>
      <c r="C41" s="33">
        <v>129.03173828125</v>
      </c>
      <c r="D41" s="33">
        <v>216.16540527343699</v>
      </c>
      <c r="E41" s="33">
        <v>147.05006408691401</v>
      </c>
      <c r="F41" s="33">
        <v>234.30999755859301</v>
      </c>
      <c r="G41" s="33">
        <v>214.26403808593699</v>
      </c>
      <c r="H41" s="33">
        <v>229.66204833984301</v>
      </c>
      <c r="I41" s="33">
        <v>46.102245330810497</v>
      </c>
      <c r="J41" s="33">
        <v>90.335586547851506</v>
      </c>
      <c r="K41" s="33">
        <v>72.525489807128906</v>
      </c>
      <c r="L41" s="33">
        <v>184.56422424316401</v>
      </c>
      <c r="M41" s="33">
        <v>320.433502197265</v>
      </c>
      <c r="N41" s="33">
        <v>298.90054321289</v>
      </c>
      <c r="O41" s="33">
        <v>208.87739562988199</v>
      </c>
      <c r="P41" s="33">
        <v>116.55522918701099</v>
      </c>
      <c r="Q41" s="33">
        <v>52.656185150146399</v>
      </c>
      <c r="R41" s="33">
        <v>148.70674133300699</v>
      </c>
      <c r="S41" s="33">
        <v>140.61518859863199</v>
      </c>
      <c r="T41" s="33">
        <v>48.9083862304687</v>
      </c>
      <c r="U41" s="33">
        <v>219.41949462890599</v>
      </c>
      <c r="V41" s="33">
        <v>142.347412109375</v>
      </c>
      <c r="W41" s="33">
        <v>64.422859191894503</v>
      </c>
      <c r="X41" s="33">
        <v>245.25344848632801</v>
      </c>
      <c r="Y41" s="33">
        <v>127.872192382812</v>
      </c>
      <c r="Z41" s="33">
        <v>123.807563781738</v>
      </c>
      <c r="AA41" s="33">
        <v>144.16920471191401</v>
      </c>
      <c r="AB41" s="33">
        <v>380.77468872070301</v>
      </c>
      <c r="AC41" s="33">
        <v>228.08280944824199</v>
      </c>
      <c r="AD41" s="33">
        <v>47.496124267578097</v>
      </c>
      <c r="AE41" s="33">
        <v>44.896759033203097</v>
      </c>
      <c r="AF41" s="33">
        <v>44.397624969482401</v>
      </c>
    </row>
    <row r="42" spans="1:32" x14ac:dyDescent="0.35">
      <c r="A42" s="32">
        <v>44286</v>
      </c>
      <c r="B42" s="33">
        <v>377.95486450195301</v>
      </c>
      <c r="C42" s="33">
        <v>119.89369201660099</v>
      </c>
      <c r="D42" s="33">
        <v>224.43713378906199</v>
      </c>
      <c r="E42" s="33">
        <v>135.62928771972599</v>
      </c>
      <c r="F42" s="33">
        <v>254.72000122070301</v>
      </c>
      <c r="G42" s="33">
        <v>216.81576538085901</v>
      </c>
      <c r="H42" s="33">
        <v>211.26473999023401</v>
      </c>
      <c r="I42" s="33">
        <v>46.493381500244098</v>
      </c>
      <c r="J42" s="33">
        <v>91.843086242675696</v>
      </c>
      <c r="K42" s="33">
        <v>72.685371398925696</v>
      </c>
      <c r="L42" s="33">
        <v>183.07597351074199</v>
      </c>
      <c r="M42" s="33">
        <v>300.70816040039</v>
      </c>
      <c r="N42" s="33">
        <v>281.89013671875</v>
      </c>
      <c r="O42" s="33">
        <v>203.28648376464801</v>
      </c>
      <c r="P42" s="33">
        <v>109.47386932373</v>
      </c>
      <c r="Q42" s="33">
        <v>58.5780639648437</v>
      </c>
      <c r="R42" s="33">
        <v>150.18714904785099</v>
      </c>
      <c r="S42" s="33">
        <v>138.35583496093699</v>
      </c>
      <c r="T42" s="33">
        <v>47.757713317871001</v>
      </c>
      <c r="U42" s="33">
        <v>208.32211303710901</v>
      </c>
      <c r="V42" s="33">
        <v>139.127029418945</v>
      </c>
      <c r="W42" s="33">
        <v>66.662521362304602</v>
      </c>
      <c r="X42" s="33">
        <v>229.294189453125</v>
      </c>
      <c r="Y42" s="33">
        <v>128.13249206542901</v>
      </c>
      <c r="Z42" s="33">
        <v>124.87383270263599</v>
      </c>
      <c r="AA42" s="33">
        <v>140.198150634765</v>
      </c>
      <c r="AB42" s="33">
        <v>355.25289916992102</v>
      </c>
      <c r="AC42" s="33">
        <v>206.76475524902301</v>
      </c>
      <c r="AD42" s="33">
        <v>47.283302307128899</v>
      </c>
      <c r="AE42" s="33">
        <v>46.418689727783203</v>
      </c>
      <c r="AF42" s="33">
        <v>43.1029243469238</v>
      </c>
    </row>
    <row r="43" spans="1:32" x14ac:dyDescent="0.35">
      <c r="A43" s="32">
        <v>44255</v>
      </c>
      <c r="B43" s="33">
        <v>361.54113769531199</v>
      </c>
      <c r="C43" s="33">
        <v>119.020149230957</v>
      </c>
      <c r="D43" s="33">
        <v>202.88735961914</v>
      </c>
      <c r="E43" s="33">
        <v>129.31449890136699</v>
      </c>
      <c r="F43" s="33">
        <v>212.009994506835</v>
      </c>
      <c r="G43" s="33">
        <v>201.86389160156199</v>
      </c>
      <c r="H43" s="33">
        <v>215.88151550292901</v>
      </c>
      <c r="I43" s="33">
        <v>40.343410491943303</v>
      </c>
      <c r="J43" s="33">
        <v>87.6448974609375</v>
      </c>
      <c r="K43" s="33">
        <v>66.139167785644503</v>
      </c>
      <c r="L43" s="33">
        <v>187.56057739257801</v>
      </c>
      <c r="M43" s="33">
        <v>292.64328002929602</v>
      </c>
      <c r="N43" s="33">
        <v>237.084381103515</v>
      </c>
      <c r="O43" s="33">
        <v>189.50117492675699</v>
      </c>
      <c r="P43" s="33">
        <v>97.701683044433594</v>
      </c>
      <c r="Q43" s="33">
        <v>55.630855560302699</v>
      </c>
      <c r="R43" s="33">
        <v>144.80470275878901</v>
      </c>
      <c r="S43" s="33">
        <v>133.75700378417901</v>
      </c>
      <c r="T43" s="33">
        <v>44.0208129882812</v>
      </c>
      <c r="U43" s="33">
        <v>191.59243774414</v>
      </c>
      <c r="V43" s="33">
        <v>126.40427398681599</v>
      </c>
      <c r="W43" s="33">
        <v>62.250213623046797</v>
      </c>
      <c r="X43" s="33">
        <v>225.997314453125</v>
      </c>
      <c r="Y43" s="33">
        <v>129.954833984375</v>
      </c>
      <c r="Z43" s="33">
        <v>113.90138244628901</v>
      </c>
      <c r="AA43" s="33">
        <v>134.89033508300699</v>
      </c>
      <c r="AB43" s="33">
        <v>316.08108520507801</v>
      </c>
      <c r="AC43" s="33">
        <v>207.40927124023401</v>
      </c>
      <c r="AD43" s="33">
        <v>44.9658813476562</v>
      </c>
      <c r="AE43" s="33">
        <v>40.525455474853501</v>
      </c>
      <c r="AF43" s="33">
        <v>41.056083679199197</v>
      </c>
    </row>
    <row r="44" spans="1:32" x14ac:dyDescent="0.35">
      <c r="A44" s="32">
        <v>44227</v>
      </c>
      <c r="B44" s="33">
        <v>351.76028442382801</v>
      </c>
      <c r="C44" s="33">
        <v>129.32922363281199</v>
      </c>
      <c r="D44" s="33">
        <v>216.17271423339801</v>
      </c>
      <c r="E44" s="33">
        <v>111.14967346191401</v>
      </c>
      <c r="F44" s="33">
        <v>194.19000244140599</v>
      </c>
      <c r="G44" s="33">
        <v>170.96905517578099</v>
      </c>
      <c r="H44" s="33">
        <v>224.91561889648401</v>
      </c>
      <c r="I44" s="33">
        <v>40.082672119140597</v>
      </c>
      <c r="J44" s="33">
        <v>73.632606506347599</v>
      </c>
      <c r="K44" s="33">
        <v>74.404960632324205</v>
      </c>
      <c r="L44" s="33">
        <v>166.853912353515</v>
      </c>
      <c r="M44" s="33">
        <v>248.39138793945301</v>
      </c>
      <c r="N44" s="33">
        <v>248.53755187988199</v>
      </c>
      <c r="O44" s="33">
        <v>182.15808105468699</v>
      </c>
      <c r="P44" s="33">
        <v>96.559242248535099</v>
      </c>
      <c r="Q44" s="33">
        <v>50.500778198242102</v>
      </c>
      <c r="R44" s="33">
        <v>148.14846801757801</v>
      </c>
      <c r="S44" s="33">
        <v>116.943099975585</v>
      </c>
      <c r="T44" s="33">
        <v>43.266017913818303</v>
      </c>
      <c r="U44" s="33">
        <v>191.99114990234301</v>
      </c>
      <c r="V44" s="33">
        <v>125.800827026367</v>
      </c>
      <c r="W44" s="33">
        <v>66.064773559570298</v>
      </c>
      <c r="X44" s="33">
        <v>225.07046508789</v>
      </c>
      <c r="Y44" s="33">
        <v>128.54609680175699</v>
      </c>
      <c r="Z44" s="33">
        <v>118.21661376953099</v>
      </c>
      <c r="AA44" s="33">
        <v>126.361198425292</v>
      </c>
      <c r="AB44" s="33">
        <v>317.375</v>
      </c>
      <c r="AC44" s="33">
        <v>188.42559814453099</v>
      </c>
      <c r="AD44" s="33">
        <v>44.518669128417898</v>
      </c>
      <c r="AE44" s="33">
        <v>42.0858345031738</v>
      </c>
      <c r="AF44" s="33">
        <v>44.396312713622997</v>
      </c>
    </row>
    <row r="45" spans="1:32" x14ac:dyDescent="0.35">
      <c r="A45" s="32">
        <v>44196</v>
      </c>
      <c r="B45" s="33">
        <v>355.381744384765</v>
      </c>
      <c r="C45" s="33">
        <v>130.044677734375</v>
      </c>
      <c r="D45" s="33">
        <v>205.86683654785099</v>
      </c>
      <c r="E45" s="33">
        <v>115.19137573242099</v>
      </c>
      <c r="F45" s="33">
        <v>214.05999755859301</v>
      </c>
      <c r="G45" s="33">
        <v>169.30154418945301</v>
      </c>
      <c r="H45" s="33">
        <v>221.894287109375</v>
      </c>
      <c r="I45" s="33">
        <v>39.911842346191399</v>
      </c>
      <c r="J45" s="33">
        <v>72.984443664550696</v>
      </c>
      <c r="K45" s="33">
        <v>66.594535827636705</v>
      </c>
      <c r="L45" s="33">
        <v>179.76210021972599</v>
      </c>
      <c r="M45" s="33">
        <v>241.55798339843699</v>
      </c>
      <c r="N45" s="33">
        <v>243.765365600585</v>
      </c>
      <c r="O45" s="33">
        <v>198.31613159179599</v>
      </c>
      <c r="P45" s="33">
        <v>102.04750823974599</v>
      </c>
      <c r="Q45" s="33">
        <v>45.324245452880803</v>
      </c>
      <c r="R45" s="33">
        <v>142.92652893066401</v>
      </c>
      <c r="S45" s="33">
        <v>114.663131713867</v>
      </c>
      <c r="T45" s="33">
        <v>49.277427673339801</v>
      </c>
      <c r="U45" s="33">
        <v>198.21720886230401</v>
      </c>
      <c r="V45" s="33">
        <v>125.177772521972</v>
      </c>
      <c r="W45" s="33">
        <v>70.119346618652301</v>
      </c>
      <c r="X45" s="33">
        <v>215.81382751464801</v>
      </c>
      <c r="Y45" s="33">
        <v>136.12857055664</v>
      </c>
      <c r="Z45" s="33">
        <v>127.525436401367</v>
      </c>
      <c r="AA45" s="33">
        <v>130.13442993164</v>
      </c>
      <c r="AB45" s="33">
        <v>333.64437866210898</v>
      </c>
      <c r="AC45" s="33">
        <v>213.26945495605401</v>
      </c>
      <c r="AD45" s="33">
        <v>47.265178680419901</v>
      </c>
      <c r="AE45" s="33">
        <v>33.4006538391113</v>
      </c>
      <c r="AF45" s="33">
        <v>45.5529174804687</v>
      </c>
    </row>
    <row r="46" spans="1:32" x14ac:dyDescent="0.35">
      <c r="A46" s="32">
        <v>44165</v>
      </c>
      <c r="B46" s="33">
        <v>342.685791015625</v>
      </c>
      <c r="C46" s="33">
        <v>116.676612854003</v>
      </c>
      <c r="D46" s="33">
        <v>198.81120300292901</v>
      </c>
      <c r="E46" s="33">
        <v>112.981086730957</v>
      </c>
      <c r="F46" s="33">
        <v>210.71000671386699</v>
      </c>
      <c r="G46" s="33">
        <v>161.460525512695</v>
      </c>
      <c r="H46" s="33">
        <v>245.09782409667901</v>
      </c>
      <c r="I46" s="33">
        <v>38.368881225585902</v>
      </c>
      <c r="J46" s="33">
        <v>75.343795776367102</v>
      </c>
      <c r="K46" s="33">
        <v>59.411582946777301</v>
      </c>
      <c r="L46" s="33">
        <v>146.85168457031199</v>
      </c>
      <c r="M46" s="33">
        <v>210.065994262695</v>
      </c>
      <c r="N46" s="33">
        <v>253.20474243164</v>
      </c>
      <c r="O46" s="33">
        <v>190.12989807128901</v>
      </c>
      <c r="P46" s="33">
        <v>100.134307861328</v>
      </c>
      <c r="Q46" s="33">
        <v>43.9868965148925</v>
      </c>
      <c r="R46" s="33">
        <v>131.39286804199199</v>
      </c>
      <c r="S46" s="33">
        <v>106.37044525146401</v>
      </c>
      <c r="T46" s="33">
        <v>46.366069793701101</v>
      </c>
      <c r="U46" s="33">
        <v>200.85910034179599</v>
      </c>
      <c r="V46" s="33">
        <v>123.702491760253</v>
      </c>
      <c r="W46" s="33">
        <v>68.370758056640597</v>
      </c>
      <c r="X46" s="33">
        <v>207.71183776855401</v>
      </c>
      <c r="Y46" s="33">
        <v>129.35392761230401</v>
      </c>
      <c r="Z46" s="33">
        <v>127.27797698974599</v>
      </c>
      <c r="AA46" s="33">
        <v>119.44075775146401</v>
      </c>
      <c r="AB46" s="33">
        <v>318.85382080078102</v>
      </c>
      <c r="AC46" s="33">
        <v>205.09869384765599</v>
      </c>
      <c r="AD46" s="33">
        <v>48.600673675537102</v>
      </c>
      <c r="AE46" s="33">
        <v>31.834478378295898</v>
      </c>
      <c r="AF46" s="33">
        <v>48.107398986816399</v>
      </c>
    </row>
    <row r="47" spans="1:32" x14ac:dyDescent="0.35">
      <c r="A47" s="32">
        <v>44135</v>
      </c>
      <c r="B47" s="33">
        <v>309.06652832031199</v>
      </c>
      <c r="C47" s="33">
        <v>106.50601196289</v>
      </c>
      <c r="D47" s="33">
        <v>192.934158325195</v>
      </c>
      <c r="E47" s="33">
        <v>86.924667358398395</v>
      </c>
      <c r="F47" s="33">
        <v>144.38999938964801</v>
      </c>
      <c r="G47" s="33">
        <v>146.07623291015599</v>
      </c>
      <c r="H47" s="33">
        <v>231.60647583007801</v>
      </c>
      <c r="I47" s="33">
        <v>32.018657684326101</v>
      </c>
      <c r="J47" s="33">
        <v>59.1931762695312</v>
      </c>
      <c r="K47" s="33">
        <v>53.0218696594238</v>
      </c>
      <c r="L47" s="33">
        <v>120.30110931396401</v>
      </c>
      <c r="M47" s="33">
        <v>172.2216796875</v>
      </c>
      <c r="N47" s="33">
        <v>243.43833923339801</v>
      </c>
      <c r="O47" s="33">
        <v>153.077545166015</v>
      </c>
      <c r="P47" s="33">
        <v>89.225906372070298</v>
      </c>
      <c r="Q47" s="33">
        <v>39.9932861328125</v>
      </c>
      <c r="R47" s="33">
        <v>123.65883636474599</v>
      </c>
      <c r="S47" s="33">
        <v>88.467559814453097</v>
      </c>
      <c r="T47" s="33">
        <v>42.849178314208899</v>
      </c>
      <c r="U47" s="33">
        <v>195.595123291015</v>
      </c>
      <c r="V47" s="33">
        <v>113.57460021972599</v>
      </c>
      <c r="W47" s="33">
        <v>63.965236663818303</v>
      </c>
      <c r="X47" s="33">
        <v>195.94337463378901</v>
      </c>
      <c r="Y47" s="33">
        <v>115.31418609619099</v>
      </c>
      <c r="Z47" s="33">
        <v>125.65573883056599</v>
      </c>
      <c r="AA47" s="33">
        <v>111.20473480224599</v>
      </c>
      <c r="AB47" s="33">
        <v>289.27587890625</v>
      </c>
      <c r="AC47" s="33">
        <v>176.90711975097599</v>
      </c>
      <c r="AD47" s="33">
        <v>45.849235534667898</v>
      </c>
      <c r="AE47" s="33">
        <v>28.174676895141602</v>
      </c>
      <c r="AF47" s="33">
        <v>43.686767578125</v>
      </c>
    </row>
    <row r="48" spans="1:32" x14ac:dyDescent="0.35">
      <c r="A48" s="32">
        <v>44104</v>
      </c>
      <c r="B48" s="33">
        <v>316.9697265625</v>
      </c>
      <c r="C48" s="33">
        <v>113.30571746826099</v>
      </c>
      <c r="D48" s="33">
        <v>226.03552246093699</v>
      </c>
      <c r="E48" s="33">
        <v>95.111251831054602</v>
      </c>
      <c r="F48" s="33">
        <v>165.259994506835</v>
      </c>
      <c r="G48" s="33">
        <v>137.88603210449199</v>
      </c>
      <c r="H48" s="33">
        <v>250.60206604003901</v>
      </c>
      <c r="I48" s="33">
        <v>34.810256958007798</v>
      </c>
      <c r="J48" s="33">
        <v>61.322425842285099</v>
      </c>
      <c r="K48" s="33">
        <v>51.716831207275298</v>
      </c>
      <c r="L48" s="33">
        <v>123.10897064208901</v>
      </c>
      <c r="M48" s="33">
        <v>183.09030151367099</v>
      </c>
      <c r="N48" s="33">
        <v>253.47856140136699</v>
      </c>
      <c r="O48" s="33">
        <v>152.76203918457</v>
      </c>
      <c r="P48" s="33">
        <v>97.224754333496094</v>
      </c>
      <c r="Q48" s="33">
        <v>46.767215728759702</v>
      </c>
      <c r="R48" s="33">
        <v>134.27412414550699</v>
      </c>
      <c r="S48" s="33">
        <v>86.071701049804602</v>
      </c>
      <c r="T48" s="33">
        <v>44.017135620117102</v>
      </c>
      <c r="U48" s="33">
        <v>201.55482482910099</v>
      </c>
      <c r="V48" s="33">
        <v>113.730834960937</v>
      </c>
      <c r="W48" s="33">
        <v>70.548034667968693</v>
      </c>
      <c r="X48" s="33">
        <v>203.55000305175699</v>
      </c>
      <c r="Y48" s="33">
        <v>120.557479858398</v>
      </c>
      <c r="Z48" s="33">
        <v>126.68454742431599</v>
      </c>
      <c r="AA48" s="33">
        <v>99.670623779296804</v>
      </c>
      <c r="AB48" s="33">
        <v>295.56115722656199</v>
      </c>
      <c r="AC48" s="33">
        <v>194.68443298339801</v>
      </c>
      <c r="AD48" s="33">
        <v>47.356307983398402</v>
      </c>
      <c r="AE48" s="33">
        <v>29.730737686157202</v>
      </c>
      <c r="AF48" s="33">
        <v>44.051998138427699</v>
      </c>
    </row>
    <row r="49" spans="1:35" x14ac:dyDescent="0.35">
      <c r="A49" s="32">
        <v>44074</v>
      </c>
      <c r="B49" s="33">
        <v>329.29989624023398</v>
      </c>
      <c r="C49" s="33">
        <v>126.24964904785099</v>
      </c>
      <c r="D49" s="33">
        <v>225.28849792480401</v>
      </c>
      <c r="E49" s="33">
        <v>96.382575988769503</v>
      </c>
      <c r="F49" s="33">
        <v>171.82000732421801</v>
      </c>
      <c r="G49" s="33">
        <v>131.56263732910099</v>
      </c>
      <c r="H49" s="33">
        <v>271.87112426757801</v>
      </c>
      <c r="I49" s="33">
        <v>37.311225891113203</v>
      </c>
      <c r="J49" s="33">
        <v>71.483222961425696</v>
      </c>
      <c r="K49" s="33">
        <v>51.977836608886697</v>
      </c>
      <c r="L49" s="33">
        <v>130.83799743652301</v>
      </c>
      <c r="M49" s="33">
        <v>186.643295288085</v>
      </c>
      <c r="N49" s="33">
        <v>258.80416870117102</v>
      </c>
      <c r="O49" s="33">
        <v>153.63438415527301</v>
      </c>
      <c r="P49" s="33">
        <v>98.535240173339801</v>
      </c>
      <c r="Q49" s="33">
        <v>46.017562866210902</v>
      </c>
      <c r="R49" s="33">
        <v>138.35972595214801</v>
      </c>
      <c r="S49" s="33">
        <v>89.576446533203097</v>
      </c>
      <c r="T49" s="33">
        <v>43.805191040038999</v>
      </c>
      <c r="U49" s="33">
        <v>196.07261657714801</v>
      </c>
      <c r="V49" s="33">
        <v>115.747276306152</v>
      </c>
      <c r="W49" s="33">
        <v>71.997520446777301</v>
      </c>
      <c r="X49" s="33">
        <v>218.26004028320301</v>
      </c>
      <c r="Y49" s="33">
        <v>107.449241638183</v>
      </c>
      <c r="Z49" s="33">
        <v>126.082962036132</v>
      </c>
      <c r="AA49" s="33">
        <v>106.10357666015599</v>
      </c>
      <c r="AB49" s="33">
        <v>295.08468627929602</v>
      </c>
      <c r="AC49" s="33">
        <v>206.38676452636699</v>
      </c>
      <c r="AD49" s="33">
        <v>47.181175231933501</v>
      </c>
      <c r="AE49" s="33">
        <v>31.468896865844702</v>
      </c>
      <c r="AF49" s="33">
        <v>43.718257904052699</v>
      </c>
    </row>
    <row r="50" spans="1:35" x14ac:dyDescent="0.35">
      <c r="A50" s="32">
        <v>44043</v>
      </c>
      <c r="B50" s="33">
        <v>307.81539916992102</v>
      </c>
      <c r="C50" s="33">
        <v>103.77512359619099</v>
      </c>
      <c r="D50" s="33">
        <v>216.14779663085901</v>
      </c>
      <c r="E50" s="33">
        <v>88.536476135253906</v>
      </c>
      <c r="F50" s="33">
        <v>158</v>
      </c>
      <c r="G50" s="33">
        <v>122.84478759765599</v>
      </c>
      <c r="H50" s="33">
        <v>194.293365478515</v>
      </c>
      <c r="I50" s="33">
        <v>41.623847961425703</v>
      </c>
      <c r="J50" s="33">
        <v>70.4757080078125</v>
      </c>
      <c r="K50" s="33">
        <v>49.852493286132798</v>
      </c>
      <c r="L50" s="33">
        <v>116.024841308593</v>
      </c>
      <c r="M50" s="33">
        <v>179.26275634765599</v>
      </c>
      <c r="N50" s="33">
        <v>241.05360412597599</v>
      </c>
      <c r="O50" s="33">
        <v>137.83950805664</v>
      </c>
      <c r="P50" s="33">
        <v>96.969940185546804</v>
      </c>
      <c r="Q50" s="33">
        <v>42.818492889404297</v>
      </c>
      <c r="R50" s="33">
        <v>130.59100341796801</v>
      </c>
      <c r="S50" s="33">
        <v>86.402503967285099</v>
      </c>
      <c r="T50" s="33">
        <v>41.779876708984297</v>
      </c>
      <c r="U50" s="33">
        <v>177.36712646484301</v>
      </c>
      <c r="V50" s="33">
        <v>105.872871398925</v>
      </c>
      <c r="W50" s="33">
        <v>67.750442504882798</v>
      </c>
      <c r="X50" s="33">
        <v>197.92303466796801</v>
      </c>
      <c r="Y50" s="33">
        <v>93.52880859375</v>
      </c>
      <c r="Z50" s="33">
        <v>119.51132202148401</v>
      </c>
      <c r="AA50" s="33">
        <v>104.62229156494099</v>
      </c>
      <c r="AB50" s="33">
        <v>285.86068725585898</v>
      </c>
      <c r="AC50" s="33">
        <v>185.087631225585</v>
      </c>
      <c r="AD50" s="33">
        <v>45.756267547607401</v>
      </c>
      <c r="AE50" s="33">
        <v>33.312454223632798</v>
      </c>
      <c r="AF50" s="33">
        <v>40.576004028320298</v>
      </c>
    </row>
    <row r="51" spans="1:35" x14ac:dyDescent="0.35">
      <c r="A51" s="32">
        <v>44012</v>
      </c>
      <c r="B51" s="33">
        <v>290.69573974609301</v>
      </c>
      <c r="C51" s="33">
        <v>89.067291259765597</v>
      </c>
      <c r="D51" s="33">
        <v>208.364822387695</v>
      </c>
      <c r="E51" s="33">
        <v>89.912162780761705</v>
      </c>
      <c r="F51" s="33">
        <v>183.30000305175699</v>
      </c>
      <c r="G51" s="33">
        <v>116.077270507812</v>
      </c>
      <c r="H51" s="33">
        <v>186.79484558105401</v>
      </c>
      <c r="I51" s="33">
        <v>40.895172119140597</v>
      </c>
      <c r="J51" s="33">
        <v>74.917182922363196</v>
      </c>
      <c r="K51" s="33">
        <v>49.258613586425703</v>
      </c>
      <c r="L51" s="33">
        <v>110.637336730957</v>
      </c>
      <c r="M51" s="33">
        <v>178.95484924316401</v>
      </c>
      <c r="N51" s="33">
        <v>227.45240783691401</v>
      </c>
      <c r="O51" s="33">
        <v>133.42854309082</v>
      </c>
      <c r="P51" s="33">
        <v>95.258316040039006</v>
      </c>
      <c r="Q51" s="33">
        <v>53.673377990722599</v>
      </c>
      <c r="R51" s="33">
        <v>125.994903564453</v>
      </c>
      <c r="S51" s="33">
        <v>83.284255981445298</v>
      </c>
      <c r="T51" s="33">
        <v>39.5157661437988</v>
      </c>
      <c r="U51" s="33">
        <v>168.4111328125</v>
      </c>
      <c r="V51" s="33">
        <v>109.75680541992099</v>
      </c>
      <c r="W51" s="33">
        <v>65.293403625488196</v>
      </c>
      <c r="X51" s="33">
        <v>196.47488403320301</v>
      </c>
      <c r="Y51" s="33">
        <v>93.950393676757798</v>
      </c>
      <c r="Z51" s="33">
        <v>108.300483703613</v>
      </c>
      <c r="AA51" s="33">
        <v>104.283981323242</v>
      </c>
      <c r="AB51" s="33">
        <v>278.46823120117102</v>
      </c>
      <c r="AC51" s="33">
        <v>187.78031921386699</v>
      </c>
      <c r="AD51" s="33">
        <v>43.398223876953097</v>
      </c>
      <c r="AE51" s="33">
        <v>34.687171936035099</v>
      </c>
      <c r="AF51" s="33">
        <v>37.559471130371001</v>
      </c>
    </row>
    <row r="52" spans="1:35" x14ac:dyDescent="0.35">
      <c r="A52" s="32">
        <v>43982</v>
      </c>
      <c r="B52" s="33">
        <v>285.63018798828102</v>
      </c>
      <c r="C52" s="33">
        <v>77.626266479492102</v>
      </c>
      <c r="D52" s="33">
        <v>202.92291259765599</v>
      </c>
      <c r="E52" s="33">
        <v>89.789375305175696</v>
      </c>
      <c r="F52" s="33">
        <v>145.850006103515</v>
      </c>
      <c r="G52" s="33">
        <v>110.232116699218</v>
      </c>
      <c r="H52" s="33">
        <v>174.29066467285099</v>
      </c>
      <c r="I52" s="33">
        <v>41.929824829101499</v>
      </c>
      <c r="J52" s="33">
        <v>76.990959167480398</v>
      </c>
      <c r="K52" s="33">
        <v>47.033504486083899</v>
      </c>
      <c r="L52" s="33">
        <v>116.382026672363</v>
      </c>
      <c r="M52" s="33">
        <v>177.93162536621</v>
      </c>
      <c r="N52" s="33">
        <v>224.270095825195</v>
      </c>
      <c r="O52" s="33">
        <v>134.59127807617099</v>
      </c>
      <c r="P52" s="33">
        <v>98.515899658203097</v>
      </c>
      <c r="Q52" s="33">
        <v>56.454380035400298</v>
      </c>
      <c r="R52" s="33">
        <v>133.26985168457</v>
      </c>
      <c r="S52" s="33">
        <v>86.161926269531193</v>
      </c>
      <c r="T52" s="33">
        <v>40.912910461425703</v>
      </c>
      <c r="U52" s="33">
        <v>170.10006713867099</v>
      </c>
      <c r="V52" s="33">
        <v>110.07345581054599</v>
      </c>
      <c r="W52" s="33">
        <v>67.618240356445298</v>
      </c>
      <c r="X52" s="33">
        <v>176.915267944335</v>
      </c>
      <c r="Y52" s="33">
        <v>94.458259582519503</v>
      </c>
      <c r="Z52" s="33">
        <v>104.994491577148</v>
      </c>
      <c r="AA52" s="33">
        <v>97.1697998046875</v>
      </c>
      <c r="AB52" s="33">
        <v>286.58071899414</v>
      </c>
      <c r="AC52" s="33">
        <v>189.79257202148401</v>
      </c>
      <c r="AD52" s="33">
        <v>45.169418334960902</v>
      </c>
      <c r="AE52" s="33">
        <v>35.137229919433501</v>
      </c>
      <c r="AF52" s="33">
        <v>38.901546478271399</v>
      </c>
    </row>
    <row r="53" spans="1:35" x14ac:dyDescent="0.35">
      <c r="A53" s="32">
        <v>43951</v>
      </c>
      <c r="B53" s="33">
        <v>272.64013671875</v>
      </c>
      <c r="C53" s="33">
        <v>71.538726806640597</v>
      </c>
      <c r="D53" s="33">
        <v>209.91229248046801</v>
      </c>
      <c r="E53" s="33">
        <v>86.181549072265597</v>
      </c>
      <c r="F53" s="33">
        <v>141.02000427246</v>
      </c>
      <c r="G53" s="33">
        <v>106.79106903076099</v>
      </c>
      <c r="H53" s="33">
        <v>161.48735046386699</v>
      </c>
      <c r="I53" s="33">
        <v>37.159896850585902</v>
      </c>
      <c r="J53" s="33">
        <v>76.125274658203097</v>
      </c>
      <c r="K53" s="33">
        <v>43.3294067382812</v>
      </c>
      <c r="L53" s="33">
        <v>107.30362701416</v>
      </c>
      <c r="M53" s="33">
        <v>165.06423950195301</v>
      </c>
      <c r="N53" s="33">
        <v>198.41154479980401</v>
      </c>
      <c r="O53" s="33">
        <v>129.98777770996</v>
      </c>
      <c r="P53" s="33">
        <v>97.725845336914006</v>
      </c>
      <c r="Q53" s="33">
        <v>53.505699157714801</v>
      </c>
      <c r="R53" s="33">
        <v>133.50018310546801</v>
      </c>
      <c r="S53" s="33">
        <v>84.789497375488196</v>
      </c>
      <c r="T53" s="33">
        <v>40.220508575439403</v>
      </c>
      <c r="U53" s="33">
        <v>170.09803771972599</v>
      </c>
      <c r="V53" s="33">
        <v>105.8433303833</v>
      </c>
      <c r="W53" s="33">
        <v>66.462226867675696</v>
      </c>
      <c r="X53" s="33">
        <v>172.534408569335</v>
      </c>
      <c r="Y53" s="33">
        <v>83.3270263671875</v>
      </c>
      <c r="Z53" s="33">
        <v>106.76071929931599</v>
      </c>
      <c r="AA53" s="33">
        <v>91.928901672363196</v>
      </c>
      <c r="AB53" s="33">
        <v>274.94265747070301</v>
      </c>
      <c r="AC53" s="33">
        <v>173.44306945800699</v>
      </c>
      <c r="AD53" s="33">
        <v>45.224525451660099</v>
      </c>
      <c r="AE53" s="33">
        <v>35.026569366455</v>
      </c>
      <c r="AF53" s="33">
        <v>37.9475708007812</v>
      </c>
    </row>
    <row r="54" spans="1:35" x14ac:dyDescent="0.35">
      <c r="A54" s="32">
        <v>43921</v>
      </c>
      <c r="B54" s="33">
        <v>241.92027282714801</v>
      </c>
      <c r="C54" s="33">
        <v>61.918254852294901</v>
      </c>
      <c r="D54" s="33">
        <v>177.89279174804599</v>
      </c>
      <c r="E54" s="33">
        <v>80.408187866210895</v>
      </c>
      <c r="F54" s="33">
        <v>149.13999938964801</v>
      </c>
      <c r="G54" s="33">
        <v>105.510414123535</v>
      </c>
      <c r="H54" s="33">
        <v>143.56867980957</v>
      </c>
      <c r="I54" s="33">
        <v>34.144313812255803</v>
      </c>
      <c r="J54" s="33">
        <v>59.956916809082003</v>
      </c>
      <c r="K54" s="33">
        <v>31.423500061035099</v>
      </c>
      <c r="L54" s="33">
        <v>95.844017028808594</v>
      </c>
      <c r="M54" s="33">
        <v>139.11940002441401</v>
      </c>
      <c r="N54" s="33">
        <v>168.51852416992099</v>
      </c>
      <c r="O54" s="33">
        <v>122.55860137939401</v>
      </c>
      <c r="P54" s="33">
        <v>86.339042663574205</v>
      </c>
      <c r="Q54" s="33">
        <v>48.278240203857401</v>
      </c>
      <c r="R54" s="33">
        <v>116.67473602294901</v>
      </c>
      <c r="S54" s="33">
        <v>78.896095275878906</v>
      </c>
      <c r="T54" s="33">
        <v>38.783130645751903</v>
      </c>
      <c r="U54" s="33">
        <v>149.955795288085</v>
      </c>
      <c r="V54" s="33">
        <v>95.107101440429602</v>
      </c>
      <c r="W54" s="33">
        <v>64.451766967773395</v>
      </c>
      <c r="X54" s="33">
        <v>151.83528137207</v>
      </c>
      <c r="Y54" s="33">
        <v>79.083251953125</v>
      </c>
      <c r="Z54" s="33">
        <v>98.972396850585895</v>
      </c>
      <c r="AA54" s="33">
        <v>90.239456176757798</v>
      </c>
      <c r="AB54" s="33">
        <v>234.43495178222599</v>
      </c>
      <c r="AC54" s="33">
        <v>156.36274719238199</v>
      </c>
      <c r="AD54" s="33">
        <v>41.846107482910099</v>
      </c>
      <c r="AE54" s="33">
        <v>37.0169868469238</v>
      </c>
      <c r="AF54" s="33">
        <v>35.471843719482401</v>
      </c>
    </row>
    <row r="55" spans="1:35" x14ac:dyDescent="0.35">
      <c r="A55" s="32">
        <v>43890</v>
      </c>
      <c r="B55" s="33">
        <v>276.43972778320301</v>
      </c>
      <c r="C55" s="33">
        <v>66.561691284179602</v>
      </c>
      <c r="D55" s="33">
        <v>175.260330200195</v>
      </c>
      <c r="E55" s="33">
        <v>103.250450134277</v>
      </c>
      <c r="F55" s="33">
        <v>275.10998535156199</v>
      </c>
      <c r="G55" s="33">
        <v>112.966346740722</v>
      </c>
      <c r="H55" s="33">
        <v>169.91320800781199</v>
      </c>
      <c r="I55" s="33">
        <v>34.682838439941399</v>
      </c>
      <c r="J55" s="33">
        <v>77.234054565429602</v>
      </c>
      <c r="K55" s="33">
        <v>39.532798767089801</v>
      </c>
      <c r="L55" s="33">
        <v>116.729286193847</v>
      </c>
      <c r="M55" s="33">
        <v>180.677963256835</v>
      </c>
      <c r="N55" s="33">
        <v>195.30871582031199</v>
      </c>
      <c r="O55" s="33">
        <v>148.55618286132801</v>
      </c>
      <c r="P55" s="33">
        <v>101.29833984375</v>
      </c>
      <c r="Q55" s="33">
        <v>49.5271186828613</v>
      </c>
      <c r="R55" s="33">
        <v>119.65544891357401</v>
      </c>
      <c r="S55" s="33">
        <v>101.75080871582</v>
      </c>
      <c r="T55" s="33">
        <v>46.473995208740199</v>
      </c>
      <c r="U55" s="33">
        <v>176.09263610839801</v>
      </c>
      <c r="V55" s="33">
        <v>103.976150512695</v>
      </c>
      <c r="W55" s="33">
        <v>63.607978820800703</v>
      </c>
      <c r="X55" s="33">
        <v>155.97509765625</v>
      </c>
      <c r="Y55" s="33">
        <v>85.429801940917898</v>
      </c>
      <c r="Z55" s="33">
        <v>101.87859344482401</v>
      </c>
      <c r="AA55" s="33">
        <v>108.108444213867</v>
      </c>
      <c r="AB55" s="33">
        <v>238.64685058593699</v>
      </c>
      <c r="AC55" s="33">
        <v>176.39334106445301</v>
      </c>
      <c r="AD55" s="33">
        <v>42.181003570556598</v>
      </c>
      <c r="AE55" s="33">
        <v>37.025074005126903</v>
      </c>
      <c r="AF55" s="33">
        <v>33.469291687011697</v>
      </c>
    </row>
    <row r="56" spans="1:35" x14ac:dyDescent="0.35">
      <c r="A56" s="32">
        <v>43861</v>
      </c>
      <c r="B56" s="33">
        <v>300.20565795898398</v>
      </c>
      <c r="C56" s="33">
        <v>75.185600280761705</v>
      </c>
      <c r="D56" s="33">
        <v>188.24467468261699</v>
      </c>
      <c r="E56" s="33">
        <v>121.97883605957</v>
      </c>
      <c r="F56" s="33">
        <v>316.38757324218699</v>
      </c>
      <c r="G56" s="33">
        <v>119.431198120117</v>
      </c>
      <c r="H56" s="33">
        <v>181.78918457031199</v>
      </c>
      <c r="I56" s="33">
        <v>39.929122924804602</v>
      </c>
      <c r="J56" s="33">
        <v>87.628646850585895</v>
      </c>
      <c r="K56" s="33">
        <v>46.863517761230398</v>
      </c>
      <c r="L56" s="33">
        <v>137.22760009765599</v>
      </c>
      <c r="M56" s="33">
        <v>212.65692138671801</v>
      </c>
      <c r="N56" s="33">
        <v>204.507553100585</v>
      </c>
      <c r="O56" s="33">
        <v>157.82434082031199</v>
      </c>
      <c r="P56" s="33">
        <v>110.711860656738</v>
      </c>
      <c r="Q56" s="33">
        <v>56.749858856201101</v>
      </c>
      <c r="R56" s="33">
        <v>131.61984252929599</v>
      </c>
      <c r="S56" s="33">
        <v>115.991203308105</v>
      </c>
      <c r="T56" s="33">
        <v>50.739974975585902</v>
      </c>
      <c r="U56" s="33">
        <v>192.84245300292901</v>
      </c>
      <c r="V56" s="33">
        <v>109.54708862304599</v>
      </c>
      <c r="W56" s="33">
        <v>70.985710144042898</v>
      </c>
      <c r="X56" s="33">
        <v>163.44250488281199</v>
      </c>
      <c r="Y56" s="33">
        <v>91.789299011230398</v>
      </c>
      <c r="Z56" s="33">
        <v>112.126739501953</v>
      </c>
      <c r="AA56" s="33">
        <v>118.765014648437</v>
      </c>
      <c r="AB56" s="33">
        <v>255.01779174804599</v>
      </c>
      <c r="AC56" s="33">
        <v>192.81591796875</v>
      </c>
      <c r="AD56" s="33">
        <v>46.293182373046797</v>
      </c>
      <c r="AE56" s="33">
        <v>40.786918640136697</v>
      </c>
      <c r="AF56" s="33">
        <v>35.585990905761697</v>
      </c>
    </row>
    <row r="57" spans="1:35" x14ac:dyDescent="0.35">
      <c r="A57" s="32">
        <v>43830</v>
      </c>
      <c r="B57" s="33">
        <v>300.32693481445301</v>
      </c>
      <c r="C57" s="33">
        <v>71.3328857421875</v>
      </c>
      <c r="D57" s="33">
        <v>210.04461669921801</v>
      </c>
      <c r="E57" s="33">
        <v>116.521881103515</v>
      </c>
      <c r="F57" s="33">
        <v>323.83331298828102</v>
      </c>
      <c r="G57" s="33">
        <v>133.34400939941401</v>
      </c>
      <c r="H57" s="33">
        <v>162.17538452148401</v>
      </c>
      <c r="I57" s="33">
        <v>41.353607177734297</v>
      </c>
      <c r="J57" s="33">
        <v>98.563827514648395</v>
      </c>
      <c r="K57" s="33">
        <v>58.785404205322202</v>
      </c>
      <c r="L57" s="33">
        <v>143.49813842773401</v>
      </c>
      <c r="M57" s="33">
        <v>205.66229248046801</v>
      </c>
      <c r="N57" s="33">
        <v>195.79289245605401</v>
      </c>
      <c r="O57" s="33">
        <v>161.26835632324199</v>
      </c>
      <c r="P57" s="33">
        <v>103.24786376953099</v>
      </c>
      <c r="Q57" s="33">
        <v>53.128089904785099</v>
      </c>
      <c r="R57" s="33">
        <v>128.96748352050699</v>
      </c>
      <c r="S57" s="33">
        <v>121.381294250488</v>
      </c>
      <c r="T57" s="33">
        <v>48.0900268554687</v>
      </c>
      <c r="U57" s="33">
        <v>178.09786987304599</v>
      </c>
      <c r="V57" s="33">
        <v>121.809509277343</v>
      </c>
      <c r="W57" s="33">
        <v>75.563560485839801</v>
      </c>
      <c r="X57" s="33">
        <v>151.41207885742099</v>
      </c>
      <c r="Y57" s="33">
        <v>96.564628601074205</v>
      </c>
      <c r="Z57" s="33">
        <v>111.714942932128</v>
      </c>
      <c r="AA57" s="33">
        <v>123.57445526123</v>
      </c>
      <c r="AB57" s="33">
        <v>275.170166015625</v>
      </c>
      <c r="AC57" s="33">
        <v>182.08831787109301</v>
      </c>
      <c r="AD57" s="33">
        <v>47.327140808105398</v>
      </c>
      <c r="AE57" s="33">
        <v>47.291969299316399</v>
      </c>
      <c r="AF57" s="33">
        <v>36.938072204589801</v>
      </c>
    </row>
    <row r="58" spans="1:35" x14ac:dyDescent="0.35">
      <c r="A58" s="32">
        <v>43799</v>
      </c>
      <c r="B58" s="33">
        <v>291.84725952148398</v>
      </c>
      <c r="C58" s="33">
        <v>64.919891357421804</v>
      </c>
      <c r="D58" s="33">
        <v>204.51188659667901</v>
      </c>
      <c r="E58" s="33">
        <v>112.431587219238</v>
      </c>
      <c r="F58" s="33">
        <v>364.01422119140602</v>
      </c>
      <c r="G58" s="33">
        <v>130.680404663085</v>
      </c>
      <c r="H58" s="33">
        <v>162.42466735839801</v>
      </c>
      <c r="I58" s="33">
        <v>39.068649291992102</v>
      </c>
      <c r="J58" s="33">
        <v>95.799369812011705</v>
      </c>
      <c r="K58" s="33">
        <v>59.343971252441399</v>
      </c>
      <c r="L58" s="33">
        <v>149.49806213378901</v>
      </c>
      <c r="M58" s="33">
        <v>197.98788452148401</v>
      </c>
      <c r="N58" s="33">
        <v>196.44613647460901</v>
      </c>
      <c r="O58" s="33">
        <v>162.68063354492099</v>
      </c>
      <c r="P58" s="33">
        <v>103.56371307373</v>
      </c>
      <c r="Q58" s="33">
        <v>51.530258178710902</v>
      </c>
      <c r="R58" s="33">
        <v>121.55848693847599</v>
      </c>
      <c r="S58" s="33">
        <v>114.72885131835901</v>
      </c>
      <c r="T58" s="33">
        <v>46.395793914794901</v>
      </c>
      <c r="U58" s="33">
        <v>175.27690124511699</v>
      </c>
      <c r="V58" s="33">
        <v>117.21800994873</v>
      </c>
      <c r="W58" s="33">
        <v>71.938056945800696</v>
      </c>
      <c r="X58" s="33">
        <v>145.34410095214801</v>
      </c>
      <c r="Y58" s="33">
        <v>89.110923767089801</v>
      </c>
      <c r="Z58" s="33">
        <v>109.174743652343</v>
      </c>
      <c r="AA58" s="33">
        <v>122.621536254882</v>
      </c>
      <c r="AB58" s="33">
        <v>260.95974731445301</v>
      </c>
      <c r="AC58" s="33">
        <v>178.80317687988199</v>
      </c>
      <c r="AD58" s="33">
        <v>46.433013916015597</v>
      </c>
      <c r="AE58" s="33">
        <v>47.805320739746001</v>
      </c>
      <c r="AF58" s="33">
        <v>36.850486755371001</v>
      </c>
    </row>
    <row r="59" spans="1:35" x14ac:dyDescent="0.35">
      <c r="A59" s="32">
        <v>43769</v>
      </c>
      <c r="B59" s="33">
        <v>281.65185546875</v>
      </c>
      <c r="C59" s="33">
        <v>60.247440338134702</v>
      </c>
      <c r="D59" s="33">
        <v>184.57856750488199</v>
      </c>
      <c r="E59" s="33">
        <v>109.77336883544901</v>
      </c>
      <c r="F59" s="33">
        <v>335.93911743164</v>
      </c>
      <c r="G59" s="33">
        <v>124.423126220703</v>
      </c>
      <c r="H59" s="33">
        <v>156.04296875</v>
      </c>
      <c r="I59" s="33">
        <v>40.965599060058501</v>
      </c>
      <c r="J59" s="33">
        <v>94.062805175781193</v>
      </c>
      <c r="K59" s="33">
        <v>60.072956085205</v>
      </c>
      <c r="L59" s="33">
        <v>128.13555908203099</v>
      </c>
      <c r="M59" s="33">
        <v>189.78898620605401</v>
      </c>
      <c r="N59" s="33">
        <v>208.980712890625</v>
      </c>
      <c r="O59" s="33">
        <v>156.59944152832</v>
      </c>
      <c r="P59" s="33">
        <v>101.806640625</v>
      </c>
      <c r="Q59" s="33">
        <v>49.906307220458899</v>
      </c>
      <c r="R59" s="33">
        <v>115.93678283691401</v>
      </c>
      <c r="S59" s="33">
        <v>108.772994995117</v>
      </c>
      <c r="T59" s="33">
        <v>46.940071105957003</v>
      </c>
      <c r="U59" s="33">
        <v>176.14880371093699</v>
      </c>
      <c r="V59" s="33">
        <v>112.939880371093</v>
      </c>
      <c r="W59" s="33">
        <v>71.508972167968693</v>
      </c>
      <c r="X59" s="33">
        <v>137.18666076660099</v>
      </c>
      <c r="Y59" s="33">
        <v>85.133331298828097</v>
      </c>
      <c r="Z59" s="33">
        <v>111.36612701416</v>
      </c>
      <c r="AA59" s="33">
        <v>117.545211791992</v>
      </c>
      <c r="AB59" s="33">
        <v>235.625564575195</v>
      </c>
      <c r="AC59" s="33">
        <v>173.03811645507801</v>
      </c>
      <c r="AD59" s="33">
        <v>46.6102905273437</v>
      </c>
      <c r="AE59" s="33">
        <v>43.6142768859863</v>
      </c>
      <c r="AF59" s="33">
        <v>36.284217834472599</v>
      </c>
    </row>
    <row r="60" spans="1:35" x14ac:dyDescent="0.35">
      <c r="A60" s="32">
        <v>43738</v>
      </c>
      <c r="B60" s="33">
        <v>275.56069946289</v>
      </c>
      <c r="C60" s="33">
        <v>54.243522644042898</v>
      </c>
      <c r="D60" s="33">
        <v>167.492584228515</v>
      </c>
      <c r="E60" s="33">
        <v>110.28757476806599</v>
      </c>
      <c r="F60" s="33">
        <v>376.02526855468699</v>
      </c>
      <c r="G60" s="33">
        <v>113.159057617187</v>
      </c>
      <c r="H60" s="33">
        <v>148.01596069335901</v>
      </c>
      <c r="I60" s="33">
        <v>42.283622741699197</v>
      </c>
      <c r="J60" s="33">
        <v>96.055183410644503</v>
      </c>
      <c r="K60" s="33">
        <v>64.994728088378906</v>
      </c>
      <c r="L60" s="33">
        <v>128.53007507324199</v>
      </c>
      <c r="M60" s="33">
        <v>184.31890869140599</v>
      </c>
      <c r="N60" s="33">
        <v>206.70005798339801</v>
      </c>
      <c r="O60" s="33">
        <v>153.39907836914</v>
      </c>
      <c r="P60" s="33">
        <v>110.706085205078</v>
      </c>
      <c r="Q60" s="33">
        <v>45.492168426513601</v>
      </c>
      <c r="R60" s="33">
        <v>113.601188659667</v>
      </c>
      <c r="S60" s="33">
        <v>101.663124084472</v>
      </c>
      <c r="T60" s="33">
        <v>46.94868850708</v>
      </c>
      <c r="U60" s="33">
        <v>192.27716064453099</v>
      </c>
      <c r="V60" s="33">
        <v>112.535987854003</v>
      </c>
      <c r="W60" s="33">
        <v>69.462570190429602</v>
      </c>
      <c r="X60" s="33">
        <v>133.03382873535099</v>
      </c>
      <c r="Y60" s="33">
        <v>89.287796020507798</v>
      </c>
      <c r="Z60" s="33">
        <v>110.543701171875</v>
      </c>
      <c r="AA60" s="33">
        <v>133.35723876953099</v>
      </c>
      <c r="AB60" s="33">
        <v>202.636138916015</v>
      </c>
      <c r="AC60" s="33">
        <v>166.41105651855401</v>
      </c>
      <c r="AD60" s="33">
        <v>46.046390533447202</v>
      </c>
      <c r="AE60" s="33">
        <v>44.0362548828125</v>
      </c>
      <c r="AF60" s="33">
        <v>36.723617553710902</v>
      </c>
    </row>
    <row r="61" spans="1:35" x14ac:dyDescent="0.35">
      <c r="A61" s="32">
        <v>43708</v>
      </c>
      <c r="B61" s="33">
        <v>270.30120849609301</v>
      </c>
      <c r="C61" s="33">
        <v>50.554946899413999</v>
      </c>
      <c r="D61" s="33">
        <v>180.57107543945301</v>
      </c>
      <c r="E61" s="33">
        <v>112.23633575439401</v>
      </c>
      <c r="F61" s="33">
        <v>359.83663940429602</v>
      </c>
      <c r="G61" s="33">
        <v>106.61016845703099</v>
      </c>
      <c r="H61" s="33">
        <v>155.62414550781199</v>
      </c>
      <c r="I61" s="33">
        <v>40.058631896972599</v>
      </c>
      <c r="J61" s="33">
        <v>95.342453002929602</v>
      </c>
      <c r="K61" s="33">
        <v>61.914047241210902</v>
      </c>
      <c r="L61" s="33">
        <v>135.374755859375</v>
      </c>
      <c r="M61" s="33">
        <v>181.36593627929599</v>
      </c>
      <c r="N61" s="33">
        <v>201.80621337890599</v>
      </c>
      <c r="O61" s="33">
        <v>149.24676513671801</v>
      </c>
      <c r="P61" s="33">
        <v>103.176956176757</v>
      </c>
      <c r="Q61" s="33">
        <v>41.854907989501903</v>
      </c>
      <c r="R61" s="33">
        <v>112.705596923828</v>
      </c>
      <c r="S61" s="33">
        <v>94.899406433105398</v>
      </c>
      <c r="T61" s="33">
        <v>47.121612548828097</v>
      </c>
      <c r="U61" s="33">
        <v>195.19656372070301</v>
      </c>
      <c r="V61" s="33">
        <v>110.70149230957</v>
      </c>
      <c r="W61" s="33">
        <v>70.881134033203097</v>
      </c>
      <c r="X61" s="33">
        <v>131.91427612304599</v>
      </c>
      <c r="Y61" s="33">
        <v>80.3323974609375</v>
      </c>
      <c r="Z61" s="33">
        <v>106.85536956787099</v>
      </c>
      <c r="AA61" s="33">
        <v>131.09848022460901</v>
      </c>
      <c r="AB61" s="33">
        <v>217.164947509765</v>
      </c>
      <c r="AC61" s="33">
        <v>174.93429565429599</v>
      </c>
      <c r="AD61" s="33">
        <v>44.368091583251903</v>
      </c>
      <c r="AE61" s="33">
        <v>40.756027221679602</v>
      </c>
      <c r="AF61" s="33">
        <v>35.355911254882798</v>
      </c>
    </row>
    <row r="62" spans="1:35" x14ac:dyDescent="0.35">
      <c r="A62" s="32">
        <v>43677</v>
      </c>
      <c r="B62" s="33">
        <v>274.90408325195301</v>
      </c>
      <c r="C62" s="33">
        <v>51.401077270507798</v>
      </c>
      <c r="D62" s="33">
        <v>160.35826110839801</v>
      </c>
      <c r="E62" s="33">
        <v>115.966049194335</v>
      </c>
      <c r="F62" s="33">
        <v>335.10317993164</v>
      </c>
      <c r="G62" s="33">
        <v>117.961036682128</v>
      </c>
      <c r="H62" s="33">
        <v>154.05862426757801</v>
      </c>
      <c r="I62" s="33">
        <v>47.409683227538999</v>
      </c>
      <c r="J62" s="33">
        <v>98.693321228027301</v>
      </c>
      <c r="K62" s="33">
        <v>65.769447326660099</v>
      </c>
      <c r="L62" s="33">
        <v>141.04577636718699</v>
      </c>
      <c r="M62" s="33">
        <v>194.571517944335</v>
      </c>
      <c r="N62" s="33">
        <v>189.21488952636699</v>
      </c>
      <c r="O62" s="33">
        <v>155.57304382324199</v>
      </c>
      <c r="P62" s="33">
        <v>111.538688659667</v>
      </c>
      <c r="Q62" s="33">
        <v>44.327705383300703</v>
      </c>
      <c r="R62" s="33">
        <v>113.48833465576099</v>
      </c>
      <c r="S62" s="33">
        <v>100.20326232910099</v>
      </c>
      <c r="T62" s="33">
        <v>45.058334350585902</v>
      </c>
      <c r="U62" s="33">
        <v>187.71147155761699</v>
      </c>
      <c r="V62" s="33">
        <v>118.515830993652</v>
      </c>
      <c r="W62" s="33">
        <v>68.028518676757798</v>
      </c>
      <c r="X62" s="33">
        <v>129.96012878417901</v>
      </c>
      <c r="Y62" s="33">
        <v>81.576202392578097</v>
      </c>
      <c r="Z62" s="33">
        <v>104.90898895263599</v>
      </c>
      <c r="AA62" s="33">
        <v>130.79512023925699</v>
      </c>
      <c r="AB62" s="33">
        <v>231.09509277343699</v>
      </c>
      <c r="AC62" s="33">
        <v>171.95796203613199</v>
      </c>
      <c r="AD62" s="33">
        <v>42.163417816162102</v>
      </c>
      <c r="AE62" s="33">
        <v>42.989784240722599</v>
      </c>
      <c r="AF62" s="33">
        <v>33.988006591796797</v>
      </c>
    </row>
    <row r="63" spans="1:35" x14ac:dyDescent="0.35">
      <c r="A63" s="32">
        <v>43646</v>
      </c>
      <c r="B63" s="33">
        <v>270.80950927734301</v>
      </c>
      <c r="C63" s="33">
        <v>47.7530097961425</v>
      </c>
      <c r="D63" s="33">
        <v>158.38150024414</v>
      </c>
      <c r="E63" s="33">
        <v>114.74007415771401</v>
      </c>
      <c r="F63" s="33">
        <v>357.526611328125</v>
      </c>
      <c r="G63" s="33">
        <v>121.16761779785099</v>
      </c>
      <c r="H63" s="33">
        <v>151.29653930664</v>
      </c>
      <c r="I63" s="33">
        <v>46.542594909667898</v>
      </c>
      <c r="J63" s="33">
        <v>99.759536743164006</v>
      </c>
      <c r="K63" s="33">
        <v>68.140899658203097</v>
      </c>
      <c r="L63" s="33">
        <v>136.874420166015</v>
      </c>
      <c r="M63" s="33">
        <v>180.84469604492099</v>
      </c>
      <c r="N63" s="33">
        <v>184.15005493164</v>
      </c>
      <c r="O63" s="33">
        <v>157.49447631835901</v>
      </c>
      <c r="P63" s="33">
        <v>103.758666992187</v>
      </c>
      <c r="Q63" s="33">
        <v>41.977584838867102</v>
      </c>
      <c r="R63" s="33">
        <v>121.384231567382</v>
      </c>
      <c r="S63" s="33">
        <v>95.896308898925696</v>
      </c>
      <c r="T63" s="33">
        <v>43.594341278076101</v>
      </c>
      <c r="U63" s="33">
        <v>184.985580444335</v>
      </c>
      <c r="V63" s="33">
        <v>117.57975769042901</v>
      </c>
      <c r="W63" s="33">
        <v>68.733451843261705</v>
      </c>
      <c r="X63" s="33">
        <v>127.757064819335</v>
      </c>
      <c r="Y63" s="33">
        <v>79.603889465332003</v>
      </c>
      <c r="Z63" s="33">
        <v>96.825248718261705</v>
      </c>
      <c r="AA63" s="33">
        <v>133.38218688964801</v>
      </c>
      <c r="AB63" s="33">
        <v>226.45478820800699</v>
      </c>
      <c r="AC63" s="33">
        <v>167.65901184082</v>
      </c>
      <c r="AD63" s="33">
        <v>43.12837600708</v>
      </c>
      <c r="AE63" s="33">
        <v>43.13179397583</v>
      </c>
      <c r="AF63" s="33">
        <v>34.021877288818303</v>
      </c>
      <c r="AG63" s="11"/>
      <c r="AH63" s="11"/>
      <c r="AI63" s="11"/>
    </row>
    <row r="64" spans="1:35" x14ac:dyDescent="0.35">
      <c r="A64" s="32">
        <v>43616</v>
      </c>
      <c r="B64" s="33">
        <v>253.19093322753901</v>
      </c>
      <c r="C64" s="33">
        <v>42.239898681640597</v>
      </c>
      <c r="D64" s="33">
        <v>143.27215576171801</v>
      </c>
      <c r="E64" s="33">
        <v>106.625343322753</v>
      </c>
      <c r="F64" s="33">
        <v>335.52554321289</v>
      </c>
      <c r="G64" s="33">
        <v>106.516212463378</v>
      </c>
      <c r="H64" s="33">
        <v>150.97746276855401</v>
      </c>
      <c r="I64" s="33">
        <v>44.246498107910099</v>
      </c>
      <c r="J64" s="33">
        <v>91.269874572753906</v>
      </c>
      <c r="K64" s="33">
        <v>58.630573272705</v>
      </c>
      <c r="L64" s="33">
        <v>129.42494201660099</v>
      </c>
      <c r="M64" s="33">
        <v>161.30180358886699</v>
      </c>
      <c r="N64" s="33">
        <v>166.93450927734301</v>
      </c>
      <c r="O64" s="33">
        <v>148.22111511230401</v>
      </c>
      <c r="P64" s="33">
        <v>95.549766540527301</v>
      </c>
      <c r="Q64" s="33">
        <v>38.619041442871001</v>
      </c>
      <c r="R64" s="33">
        <v>114.29884338378901</v>
      </c>
      <c r="S64" s="33">
        <v>90.887062072753906</v>
      </c>
      <c r="T64" s="33">
        <v>41.736057281494098</v>
      </c>
      <c r="U64" s="33">
        <v>176.62092590332</v>
      </c>
      <c r="V64" s="33">
        <v>108.36138916015599</v>
      </c>
      <c r="W64" s="33">
        <v>64.499191284179602</v>
      </c>
      <c r="X64" s="33">
        <v>117.953086853027</v>
      </c>
      <c r="Y64" s="33">
        <v>73.146453857421804</v>
      </c>
      <c r="Z64" s="33">
        <v>90.873580932617102</v>
      </c>
      <c r="AA64" s="33">
        <v>129.14381408691401</v>
      </c>
      <c r="AB64" s="33">
        <v>223.41444396972599</v>
      </c>
      <c r="AC64" s="33">
        <v>155.85382080078099</v>
      </c>
      <c r="AD64" s="33">
        <v>41.029705047607401</v>
      </c>
      <c r="AE64" s="33">
        <v>38.926712036132798</v>
      </c>
      <c r="AF64" s="33">
        <v>31.235223770141602</v>
      </c>
      <c r="AG64" s="11"/>
      <c r="AH64" s="11"/>
      <c r="AI64" s="11"/>
    </row>
    <row r="65" spans="1:35" x14ac:dyDescent="0.35">
      <c r="A65" s="32">
        <v>43585</v>
      </c>
      <c r="B65" s="33">
        <v>270.43701171875</v>
      </c>
      <c r="C65" s="33">
        <v>48.2307739257812</v>
      </c>
      <c r="D65" s="33">
        <v>152.80303955078099</v>
      </c>
      <c r="E65" s="33">
        <v>108.96775054931599</v>
      </c>
      <c r="F65" s="33">
        <v>368.84390258789</v>
      </c>
      <c r="G65" s="33">
        <v>123.950355529785</v>
      </c>
      <c r="H65" s="33">
        <v>164.87763977050699</v>
      </c>
      <c r="I65" s="33">
        <v>47.580089569091797</v>
      </c>
      <c r="J65" s="33">
        <v>95.310462951660099</v>
      </c>
      <c r="K65" s="33">
        <v>73.587371826171804</v>
      </c>
      <c r="L65" s="33">
        <v>134.25729370117099</v>
      </c>
      <c r="M65" s="33">
        <v>181.19471740722599</v>
      </c>
      <c r="N65" s="33">
        <v>179.11274719238199</v>
      </c>
      <c r="O65" s="33">
        <v>155.86990356445301</v>
      </c>
      <c r="P65" s="33">
        <v>104.30290985107401</v>
      </c>
      <c r="Q65" s="33">
        <v>44.484951019287102</v>
      </c>
      <c r="R65" s="33">
        <v>122.221229553222</v>
      </c>
      <c r="S65" s="33">
        <v>99.541755676269503</v>
      </c>
      <c r="T65" s="33">
        <v>41.676589965820298</v>
      </c>
      <c r="U65" s="33">
        <v>174.97267150878901</v>
      </c>
      <c r="V65" s="33">
        <v>127.457633972167</v>
      </c>
      <c r="W65" s="33">
        <v>64.092079162597599</v>
      </c>
      <c r="X65" s="33">
        <v>124.093299865722</v>
      </c>
      <c r="Y65" s="33">
        <v>83.051849365234304</v>
      </c>
      <c r="Z65" s="33">
        <v>94.026039123535099</v>
      </c>
      <c r="AA65" s="33">
        <v>127.529182434082</v>
      </c>
      <c r="AB65" s="33">
        <v>215.34825134277301</v>
      </c>
      <c r="AC65" s="33">
        <v>158.60464477539</v>
      </c>
      <c r="AD65" s="33">
        <v>43.173667907714801</v>
      </c>
      <c r="AE65" s="33">
        <v>41.909732818603501</v>
      </c>
      <c r="AF65" s="33">
        <v>31.498979568481399</v>
      </c>
      <c r="AG65" s="11"/>
      <c r="AH65" s="11"/>
      <c r="AI65" s="11"/>
    </row>
    <row r="66" spans="1:35" x14ac:dyDescent="0.35">
      <c r="A66" s="32">
        <v>43555</v>
      </c>
      <c r="B66" s="33">
        <v>259.82260131835898</v>
      </c>
      <c r="C66" s="33">
        <v>45.654232025146399</v>
      </c>
      <c r="D66" s="33">
        <v>161.88668823242099</v>
      </c>
      <c r="E66" s="33">
        <v>101.23825836181599</v>
      </c>
      <c r="F66" s="33">
        <v>372.486572265625</v>
      </c>
      <c r="G66" s="33">
        <v>119.73070526123</v>
      </c>
      <c r="H66" s="33">
        <v>157.91757202148401</v>
      </c>
      <c r="I66" s="33">
        <v>45.624435424804602</v>
      </c>
      <c r="J66" s="33">
        <v>97.787322998046804</v>
      </c>
      <c r="K66" s="33">
        <v>68.612709045410099</v>
      </c>
      <c r="L66" s="33">
        <v>108.831047058105</v>
      </c>
      <c r="M66" s="33">
        <v>168.93734741210901</v>
      </c>
      <c r="N66" s="33">
        <v>168.72830200195301</v>
      </c>
      <c r="O66" s="33">
        <v>142.66455078125</v>
      </c>
      <c r="P66" s="33">
        <v>104.92009735107401</v>
      </c>
      <c r="Q66" s="33">
        <v>46.803337097167898</v>
      </c>
      <c r="R66" s="33">
        <v>121.00082397460901</v>
      </c>
      <c r="S66" s="33">
        <v>86.170539855957003</v>
      </c>
      <c r="T66" s="33">
        <v>39.8076782226562</v>
      </c>
      <c r="U66" s="33">
        <v>168.17990112304599</v>
      </c>
      <c r="V66" s="33">
        <v>139.745361328125</v>
      </c>
      <c r="W66" s="33">
        <v>67.723739624023395</v>
      </c>
      <c r="X66" s="33">
        <v>112.06404876708901</v>
      </c>
      <c r="Y66" s="33">
        <v>79.628791809082003</v>
      </c>
      <c r="Z66" s="33">
        <v>91.236160278320298</v>
      </c>
      <c r="AA66" s="33">
        <v>121.68283081054599</v>
      </c>
      <c r="AB66" s="33">
        <v>228.45928955078099</v>
      </c>
      <c r="AC66" s="33">
        <v>150.65658569335901</v>
      </c>
      <c r="AD66" s="33">
        <v>44.182998657226499</v>
      </c>
      <c r="AE66" s="33">
        <v>49.498394012451101</v>
      </c>
      <c r="AF66" s="33">
        <v>29.872564315795898</v>
      </c>
      <c r="AG66" s="11"/>
      <c r="AH66" s="11"/>
      <c r="AI66" s="11"/>
    </row>
    <row r="67" spans="1:35" x14ac:dyDescent="0.35">
      <c r="A67" s="32">
        <v>43524</v>
      </c>
      <c r="B67" s="33">
        <v>255.20324707031199</v>
      </c>
      <c r="C67" s="33">
        <v>41.616382598876903</v>
      </c>
      <c r="D67" s="33">
        <v>161.971908569335</v>
      </c>
      <c r="E67" s="33">
        <v>99.793312072753906</v>
      </c>
      <c r="F67" s="33">
        <v>429.65542602539</v>
      </c>
      <c r="G67" s="33">
        <v>121.365463256835</v>
      </c>
      <c r="H67" s="33">
        <v>163.18247985839801</v>
      </c>
      <c r="I67" s="33">
        <v>43.748405456542898</v>
      </c>
      <c r="J67" s="33">
        <v>94.929450988769503</v>
      </c>
      <c r="K67" s="33">
        <v>68.509757995605398</v>
      </c>
      <c r="L67" s="33">
        <v>110.60519409179599</v>
      </c>
      <c r="M67" s="33">
        <v>173.08175659179599</v>
      </c>
      <c r="N67" s="33">
        <v>161.58979797363199</v>
      </c>
      <c r="O67" s="33">
        <v>138.310623168945</v>
      </c>
      <c r="P67" s="33">
        <v>102.71164703369099</v>
      </c>
      <c r="Q67" s="33">
        <v>46.158370971679602</v>
      </c>
      <c r="R67" s="33">
        <v>118.27416229248</v>
      </c>
      <c r="S67" s="33">
        <v>88.834899902343693</v>
      </c>
      <c r="T67" s="33">
        <v>38.183109283447202</v>
      </c>
      <c r="U67" s="33">
        <v>162.81304931640599</v>
      </c>
      <c r="V67" s="33">
        <v>139.48306274414</v>
      </c>
      <c r="W67" s="33">
        <v>65.746757507324205</v>
      </c>
      <c r="X67" s="33">
        <v>106.44849395751901</v>
      </c>
      <c r="Y67" s="33">
        <v>80.858055114746094</v>
      </c>
      <c r="Z67" s="33">
        <v>86.413497924804602</v>
      </c>
      <c r="AA67" s="33">
        <v>117.22190093994099</v>
      </c>
      <c r="AB67" s="33">
        <v>222.951568603515</v>
      </c>
      <c r="AC67" s="33">
        <v>142.87248229980401</v>
      </c>
      <c r="AD67" s="33">
        <v>42.531642913818303</v>
      </c>
      <c r="AE67" s="33">
        <v>55.694503784179602</v>
      </c>
      <c r="AF67" s="33">
        <v>30.157487869262599</v>
      </c>
      <c r="AG67" s="11"/>
      <c r="AH67" s="11"/>
      <c r="AI67" s="11"/>
    </row>
    <row r="68" spans="1:35" x14ac:dyDescent="0.35">
      <c r="A68" s="32">
        <v>43496</v>
      </c>
      <c r="B68" s="33">
        <v>247.19039916992099</v>
      </c>
      <c r="C68" s="33">
        <v>39.832805633544901</v>
      </c>
      <c r="D68" s="33">
        <v>158.21769714355401</v>
      </c>
      <c r="E68" s="33">
        <v>95.125053405761705</v>
      </c>
      <c r="F68" s="33">
        <v>374.70568847656199</v>
      </c>
      <c r="G68" s="33">
        <v>117.67170715332</v>
      </c>
      <c r="H68" s="33">
        <v>151.53585815429599</v>
      </c>
      <c r="I68" s="33">
        <v>39.962577819824197</v>
      </c>
      <c r="J68" s="33">
        <v>90.109893798828097</v>
      </c>
      <c r="K68" s="33">
        <v>68.7852783203125</v>
      </c>
      <c r="L68" s="33">
        <v>109.311347961425</v>
      </c>
      <c r="M68" s="33">
        <v>173.53373718261699</v>
      </c>
      <c r="N68" s="33">
        <v>160.1845703125</v>
      </c>
      <c r="O68" s="33">
        <v>128.25451660156199</v>
      </c>
      <c r="P68" s="33">
        <v>98.801780700683594</v>
      </c>
      <c r="Q68" s="33">
        <v>40.809726715087798</v>
      </c>
      <c r="R68" s="33">
        <v>114.433708190917</v>
      </c>
      <c r="S68" s="33">
        <v>88.102836608886705</v>
      </c>
      <c r="T68" s="33">
        <v>40.532711029052699</v>
      </c>
      <c r="U68" s="33">
        <v>157.33010864257801</v>
      </c>
      <c r="V68" s="33">
        <v>133.78959655761699</v>
      </c>
      <c r="W68" s="33">
        <v>60.198421478271399</v>
      </c>
      <c r="X68" s="33">
        <v>98.805168151855398</v>
      </c>
      <c r="Y68" s="33">
        <v>77.226860046386705</v>
      </c>
      <c r="Z68" s="33">
        <v>84.589653015136705</v>
      </c>
      <c r="AA68" s="33">
        <v>110.72182464599599</v>
      </c>
      <c r="AB68" s="33">
        <v>248.70570373535099</v>
      </c>
      <c r="AC68" s="33">
        <v>130.00001525878901</v>
      </c>
      <c r="AD68" s="33">
        <v>41.141819000244098</v>
      </c>
      <c r="AE68" s="33">
        <v>56.188179016113203</v>
      </c>
      <c r="AF68" s="33">
        <v>29.194789886474599</v>
      </c>
      <c r="AG68" s="11"/>
      <c r="AH68" s="11"/>
      <c r="AI68" s="11"/>
    </row>
    <row r="69" spans="1:35" x14ac:dyDescent="0.35">
      <c r="A69" s="32">
        <v>43465</v>
      </c>
      <c r="B69" s="33">
        <v>228.86610412597599</v>
      </c>
      <c r="C69" s="33">
        <v>37.750713348388601</v>
      </c>
      <c r="D69" s="33">
        <v>164.61038208007801</v>
      </c>
      <c r="E69" s="33">
        <v>87.929512023925696</v>
      </c>
      <c r="F69" s="33">
        <v>313.37222290039</v>
      </c>
      <c r="G69" s="33">
        <v>111.57225036621</v>
      </c>
      <c r="H69" s="33">
        <v>136.57872009277301</v>
      </c>
      <c r="I69" s="33">
        <v>36.334827423095703</v>
      </c>
      <c r="J69" s="33">
        <v>85.504219055175696</v>
      </c>
      <c r="K69" s="33">
        <v>68.363433837890597</v>
      </c>
      <c r="L69" s="33">
        <v>107.478378295898</v>
      </c>
      <c r="M69" s="33">
        <v>146.40077209472599</v>
      </c>
      <c r="N69" s="33">
        <v>149.964111328125</v>
      </c>
      <c r="O69" s="33">
        <v>117.97665405273401</v>
      </c>
      <c r="P69" s="33">
        <v>83.550048828125</v>
      </c>
      <c r="Q69" s="33">
        <v>40.645172119140597</v>
      </c>
      <c r="R69" s="33">
        <v>110.96835327148401</v>
      </c>
      <c r="S69" s="33">
        <v>82.428192138671804</v>
      </c>
      <c r="T69" s="33">
        <v>39.875820159912102</v>
      </c>
      <c r="U69" s="33">
        <v>156.26528930664</v>
      </c>
      <c r="V69" s="33">
        <v>127.270469665527</v>
      </c>
      <c r="W69" s="33">
        <v>61.799819946288999</v>
      </c>
      <c r="X69" s="33">
        <v>96.099220275878906</v>
      </c>
      <c r="Y69" s="33">
        <v>69.926689147949205</v>
      </c>
      <c r="Z69" s="33">
        <v>79.967491149902301</v>
      </c>
      <c r="AA69" s="33">
        <v>105.61524200439401</v>
      </c>
      <c r="AB69" s="33">
        <v>229.302642822265</v>
      </c>
      <c r="AC69" s="33">
        <v>127.043937683105</v>
      </c>
      <c r="AD69" s="33">
        <v>41.574684143066399</v>
      </c>
      <c r="AE69" s="33">
        <v>53.132274627685497</v>
      </c>
      <c r="AF69" s="33">
        <v>28.378318786621001</v>
      </c>
      <c r="AG69" s="11"/>
      <c r="AH69" s="11"/>
      <c r="AI69" s="11"/>
    </row>
    <row r="70" spans="1:35" x14ac:dyDescent="0.35">
      <c r="A70" s="32">
        <v>43434</v>
      </c>
      <c r="B70" s="33">
        <v>250.96304321289</v>
      </c>
      <c r="C70" s="33">
        <v>42.738185882568303</v>
      </c>
      <c r="D70" s="33">
        <v>176.09346008300699</v>
      </c>
      <c r="E70" s="33">
        <v>103.56532287597599</v>
      </c>
      <c r="F70" s="33">
        <v>336.94558715820301</v>
      </c>
      <c r="G70" s="33">
        <v>119.123359680175</v>
      </c>
      <c r="H70" s="33">
        <v>142.35217285156199</v>
      </c>
      <c r="I70" s="33">
        <v>40.141887664794901</v>
      </c>
      <c r="J70" s="33">
        <v>93.481651306152301</v>
      </c>
      <c r="K70" s="33">
        <v>73.949623107910099</v>
      </c>
      <c r="L70" s="33">
        <v>112.33139038085901</v>
      </c>
      <c r="M70" s="33">
        <v>167.118560791015</v>
      </c>
      <c r="N70" s="33">
        <v>157.38290405273401</v>
      </c>
      <c r="O70" s="33">
        <v>131.04051208496</v>
      </c>
      <c r="P70" s="33">
        <v>91.341285705566406</v>
      </c>
      <c r="Q70" s="33">
        <v>42.706432342529297</v>
      </c>
      <c r="R70" s="33">
        <v>126.31735229492099</v>
      </c>
      <c r="S70" s="33">
        <v>93.886390686035099</v>
      </c>
      <c r="T70" s="33">
        <v>42.444377899169901</v>
      </c>
      <c r="U70" s="33">
        <v>165.89274597167901</v>
      </c>
      <c r="V70" s="33">
        <v>138.87933349609301</v>
      </c>
      <c r="W70" s="33">
        <v>63.7229194641113</v>
      </c>
      <c r="X70" s="33">
        <v>104.917221069335</v>
      </c>
      <c r="Y70" s="33">
        <v>70.851005554199205</v>
      </c>
      <c r="Z70" s="33">
        <v>82.220726013183594</v>
      </c>
      <c r="AA70" s="33">
        <v>114.275733947753</v>
      </c>
      <c r="AB70" s="33">
        <v>258.97790527343699</v>
      </c>
      <c r="AC70" s="33">
        <v>136.45143127441401</v>
      </c>
      <c r="AD70" s="33">
        <v>44.591842651367102</v>
      </c>
      <c r="AE70" s="33">
        <v>65.837989807128906</v>
      </c>
      <c r="AF70" s="33">
        <v>29.587791442871001</v>
      </c>
    </row>
    <row r="71" spans="1:35" x14ac:dyDescent="0.35">
      <c r="A71" s="32">
        <v>43404</v>
      </c>
      <c r="B71" s="33">
        <v>246.39266967773401</v>
      </c>
      <c r="C71" s="33">
        <v>52.195960998535099</v>
      </c>
      <c r="D71" s="33">
        <v>161.89024353027301</v>
      </c>
      <c r="E71" s="33">
        <v>94.765007019042898</v>
      </c>
      <c r="F71" s="33">
        <v>343.23138427734301</v>
      </c>
      <c r="G71" s="33">
        <v>106.523559570312</v>
      </c>
      <c r="H71" s="33">
        <v>136.84794616699199</v>
      </c>
      <c r="I71" s="33">
        <v>38.364147186279297</v>
      </c>
      <c r="J71" s="33">
        <v>86.902717590332003</v>
      </c>
      <c r="K71" s="33">
        <v>68.468154907226506</v>
      </c>
      <c r="L71" s="33">
        <v>111.68943786621</v>
      </c>
      <c r="M71" s="33">
        <v>196.715087890625</v>
      </c>
      <c r="N71" s="33">
        <v>152.59490966796801</v>
      </c>
      <c r="O71" s="33">
        <v>128.59840393066401</v>
      </c>
      <c r="P71" s="33">
        <v>83.776679992675696</v>
      </c>
      <c r="Q71" s="33">
        <v>40.347942352294901</v>
      </c>
      <c r="R71" s="33">
        <v>119.61382293701099</v>
      </c>
      <c r="S71" s="33">
        <v>92.054100036621094</v>
      </c>
      <c r="T71" s="33">
        <v>40.00581741333</v>
      </c>
      <c r="U71" s="33">
        <v>154.72151184082</v>
      </c>
      <c r="V71" s="33">
        <v>126.22144317626901</v>
      </c>
      <c r="W71" s="33">
        <v>59.120792388916001</v>
      </c>
      <c r="X71" s="33">
        <v>100.62229156494099</v>
      </c>
      <c r="Y71" s="33">
        <v>70.566123962402301</v>
      </c>
      <c r="Z71" s="33">
        <v>77.148788452148395</v>
      </c>
      <c r="AA71" s="33">
        <v>109.682609558105</v>
      </c>
      <c r="AB71" s="33">
        <v>239.793533325195</v>
      </c>
      <c r="AC71" s="33">
        <v>132.49671936035099</v>
      </c>
      <c r="AD71" s="33">
        <v>42.218040466308501</v>
      </c>
      <c r="AE71" s="33">
        <v>61.694625854492102</v>
      </c>
      <c r="AF71" s="33">
        <v>30.3846721649169</v>
      </c>
    </row>
    <row r="72" spans="1:35" x14ac:dyDescent="0.35">
      <c r="A72" s="32">
        <v>43373</v>
      </c>
      <c r="B72" s="33">
        <v>264.68338012695301</v>
      </c>
      <c r="C72" s="33">
        <v>53.836776733398402</v>
      </c>
      <c r="D72" s="33">
        <v>174.06620788574199</v>
      </c>
      <c r="E72" s="33">
        <v>97.880203247070298</v>
      </c>
      <c r="F72" s="33">
        <v>359.71295166015602</v>
      </c>
      <c r="G72" s="33">
        <v>133.04408264160099</v>
      </c>
      <c r="H72" s="33">
        <v>158.57569885253901</v>
      </c>
      <c r="I72" s="33">
        <v>40.522006988525298</v>
      </c>
      <c r="J72" s="33">
        <v>95.176567077636705</v>
      </c>
      <c r="K72" s="33">
        <v>81.661476135253906</v>
      </c>
      <c r="L72" s="33">
        <v>113.741729736328</v>
      </c>
      <c r="M72" s="33">
        <v>195.728759765625</v>
      </c>
      <c r="N72" s="33">
        <v>179.72499084472599</v>
      </c>
      <c r="O72" s="33">
        <v>141.62158203125</v>
      </c>
      <c r="P72" s="33">
        <v>109.74503326416</v>
      </c>
      <c r="Q72" s="33">
        <v>40.700813293457003</v>
      </c>
      <c r="R72" s="33">
        <v>118.05873870849599</v>
      </c>
      <c r="S72" s="33">
        <v>94.617027282714801</v>
      </c>
      <c r="T72" s="33">
        <v>38.59375</v>
      </c>
      <c r="U72" s="33">
        <v>146.31634521484301</v>
      </c>
      <c r="V72" s="33">
        <v>139.78828430175699</v>
      </c>
      <c r="W72" s="33">
        <v>56.976352691650298</v>
      </c>
      <c r="X72" s="33">
        <v>107.744323730468</v>
      </c>
      <c r="Y72" s="33">
        <v>79.668998718261705</v>
      </c>
      <c r="Z72" s="33">
        <v>71.773277282714801</v>
      </c>
      <c r="AA72" s="33">
        <v>113.697219848632</v>
      </c>
      <c r="AB72" s="33">
        <v>244.09669494628901</v>
      </c>
      <c r="AC72" s="33">
        <v>144.26144409179599</v>
      </c>
      <c r="AD72" s="33">
        <v>39.0491943359375</v>
      </c>
      <c r="AE72" s="33">
        <v>56.381332397460902</v>
      </c>
      <c r="AF72" s="33">
        <v>28.4545803070068</v>
      </c>
    </row>
    <row r="73" spans="1:35" x14ac:dyDescent="0.35">
      <c r="A73" s="32">
        <v>43343</v>
      </c>
      <c r="B73" s="33">
        <v>263.11901855468699</v>
      </c>
      <c r="C73" s="33">
        <v>54.287521362304602</v>
      </c>
      <c r="D73" s="33">
        <v>167.78509521484301</v>
      </c>
      <c r="E73" s="33">
        <v>97.411445617675696</v>
      </c>
      <c r="F73" s="33">
        <v>331.55691528320301</v>
      </c>
      <c r="G73" s="33">
        <v>121.14347839355401</v>
      </c>
      <c r="H73" s="33">
        <v>152.24383544921801</v>
      </c>
      <c r="I73" s="33">
        <v>39.789016723632798</v>
      </c>
      <c r="J73" s="33">
        <v>92.203300476074205</v>
      </c>
      <c r="K73" s="33">
        <v>89.051765441894503</v>
      </c>
      <c r="L73" s="33">
        <v>108.956283569335</v>
      </c>
      <c r="M73" s="33">
        <v>207.57339477539</v>
      </c>
      <c r="N73" s="33">
        <v>174.18960571289</v>
      </c>
      <c r="O73" s="33">
        <v>135.37454223632801</v>
      </c>
      <c r="P73" s="33">
        <v>106.312126159667</v>
      </c>
      <c r="Q73" s="33">
        <v>41.681976318359297</v>
      </c>
      <c r="R73" s="33">
        <v>115.085250854492</v>
      </c>
      <c r="S73" s="33">
        <v>96.076042175292898</v>
      </c>
      <c r="T73" s="33">
        <v>36.926078796386697</v>
      </c>
      <c r="U73" s="33">
        <v>141.89073181152301</v>
      </c>
      <c r="V73" s="33">
        <v>139.927642822265</v>
      </c>
      <c r="W73" s="33">
        <v>54.715583801269503</v>
      </c>
      <c r="X73" s="33">
        <v>105.82250213623</v>
      </c>
      <c r="Y73" s="33">
        <v>77.299232482910099</v>
      </c>
      <c r="Z73" s="33">
        <v>71.531814575195298</v>
      </c>
      <c r="AA73" s="33">
        <v>114.68389892578099</v>
      </c>
      <c r="AB73" s="33">
        <v>245.48872375488199</v>
      </c>
      <c r="AC73" s="33">
        <v>141.18568420410099</v>
      </c>
      <c r="AD73" s="33">
        <v>39.765964508056598</v>
      </c>
      <c r="AE73" s="33">
        <v>53.024753570556598</v>
      </c>
      <c r="AF73" s="33">
        <v>29.045417785644499</v>
      </c>
    </row>
    <row r="74" spans="1:35" x14ac:dyDescent="0.35">
      <c r="A74" s="32">
        <v>43312</v>
      </c>
      <c r="B74" s="33">
        <v>254.98008728027301</v>
      </c>
      <c r="C74" s="33">
        <v>45.223690032958899</v>
      </c>
      <c r="D74" s="33">
        <v>163.93185424804599</v>
      </c>
      <c r="E74" s="33">
        <v>91.473724365234304</v>
      </c>
      <c r="F74" s="33">
        <v>342.92971801757801</v>
      </c>
      <c r="G74" s="33">
        <v>125.46224212646401</v>
      </c>
      <c r="H74" s="33">
        <v>136.75819396972599</v>
      </c>
      <c r="I74" s="33">
        <v>35.224571228027301</v>
      </c>
      <c r="J74" s="33">
        <v>97.348876953125</v>
      </c>
      <c r="K74" s="33">
        <v>86.860336303710895</v>
      </c>
      <c r="L74" s="33">
        <v>110.454177856445</v>
      </c>
      <c r="M74" s="33">
        <v>206.55764770507801</v>
      </c>
      <c r="N74" s="33">
        <v>170.49594116210901</v>
      </c>
      <c r="O74" s="33">
        <v>135.21586608886699</v>
      </c>
      <c r="P74" s="33">
        <v>104.06291961669901</v>
      </c>
      <c r="Q74" s="33">
        <v>41.147712707519503</v>
      </c>
      <c r="R74" s="33">
        <v>112.481521606445</v>
      </c>
      <c r="S74" s="33">
        <v>96.386283874511705</v>
      </c>
      <c r="T74" s="33">
        <v>38.632778167724602</v>
      </c>
      <c r="U74" s="33">
        <v>136.93386840820301</v>
      </c>
      <c r="V74" s="33">
        <v>139.91856384277301</v>
      </c>
      <c r="W74" s="33">
        <v>52.545783996582003</v>
      </c>
      <c r="X74" s="33">
        <v>99.551483154296804</v>
      </c>
      <c r="Y74" s="33">
        <v>72.146942138671804</v>
      </c>
      <c r="Z74" s="33">
        <v>69.746742248535099</v>
      </c>
      <c r="AA74" s="33">
        <v>113.411582946777</v>
      </c>
      <c r="AB74" s="33">
        <v>231.55282592773401</v>
      </c>
      <c r="AC74" s="33">
        <v>131.23260498046801</v>
      </c>
      <c r="AD74" s="33">
        <v>37.769260406494098</v>
      </c>
      <c r="AE74" s="33">
        <v>51.967227935791001</v>
      </c>
      <c r="AF74" s="33">
        <v>26.880422592163001</v>
      </c>
    </row>
    <row r="75" spans="1:35" x14ac:dyDescent="0.35">
      <c r="A75" s="32">
        <v>43281</v>
      </c>
      <c r="B75" s="33">
        <v>245.87135314941401</v>
      </c>
      <c r="C75" s="33">
        <v>43.992630004882798</v>
      </c>
      <c r="D75" s="33">
        <v>153.95664978027301</v>
      </c>
      <c r="E75" s="33">
        <v>89.75439453125</v>
      </c>
      <c r="F75" s="33">
        <v>322.91989135742102</v>
      </c>
      <c r="G75" s="33">
        <v>117.647621154785</v>
      </c>
      <c r="H75" s="33">
        <v>136.010330200195</v>
      </c>
      <c r="I75" s="33">
        <v>35.563758850097599</v>
      </c>
      <c r="J75" s="33">
        <v>97.472221374511705</v>
      </c>
      <c r="K75" s="33">
        <v>83.2606201171875</v>
      </c>
      <c r="L75" s="33">
        <v>101.130561828613</v>
      </c>
      <c r="M75" s="33">
        <v>191.88990783691401</v>
      </c>
      <c r="N75" s="33">
        <v>168.40705871582</v>
      </c>
      <c r="O75" s="33">
        <v>122.003410339355</v>
      </c>
      <c r="P75" s="33">
        <v>100.307647705078</v>
      </c>
      <c r="Q75" s="33">
        <v>42.525001525878899</v>
      </c>
      <c r="R75" s="33">
        <v>102.992050170898</v>
      </c>
      <c r="S75" s="33">
        <v>86.900077819824205</v>
      </c>
      <c r="T75" s="33">
        <v>36.337856292724602</v>
      </c>
      <c r="U75" s="33">
        <v>136.19511413574199</v>
      </c>
      <c r="V75" s="33">
        <v>129.63816833496</v>
      </c>
      <c r="W75" s="33">
        <v>48.421577453613203</v>
      </c>
      <c r="X75" s="33">
        <v>92.541191101074205</v>
      </c>
      <c r="Y75" s="33">
        <v>74.745368957519503</v>
      </c>
      <c r="Z75" s="33">
        <v>66.70947265625</v>
      </c>
      <c r="AA75" s="33">
        <v>106.61418914794901</v>
      </c>
      <c r="AB75" s="33">
        <v>224.34706115722599</v>
      </c>
      <c r="AC75" s="33">
        <v>127.11537933349599</v>
      </c>
      <c r="AD75" s="33">
        <v>36.374771118163999</v>
      </c>
      <c r="AE75" s="33">
        <v>46.1264839172363</v>
      </c>
      <c r="AF75" s="33">
        <v>25.8019504547119</v>
      </c>
    </row>
    <row r="76" spans="1:35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5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5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5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5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2:32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2:32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2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2:32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2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2:32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2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2:32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2:32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2:32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2:32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2:32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2:32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2:32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2:32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2:32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2:32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2:32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2:32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2:32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2:32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2:32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2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2:32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2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2:32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2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2:32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2:32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2:32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2:32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2:32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2:32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2:32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2:32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2:32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2:32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2:32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2:32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2:32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2:32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2:32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2:32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2:32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2:32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2:32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2:32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2:32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2:32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2:32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2:32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2:32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2:32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2:32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2:32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2:32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2:32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2:32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2:32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2:32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2:32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2:32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2:32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2:32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2:32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2:32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2:32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2:32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2:32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2:32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2:32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F281"/>
  <sheetViews>
    <sheetView workbookViewId="0">
      <selection activeCell="G10" sqref="G10"/>
    </sheetView>
  </sheetViews>
  <sheetFormatPr defaultRowHeight="14.5" x14ac:dyDescent="0.35"/>
  <cols>
    <col min="2" max="32" width="9" customWidth="1"/>
  </cols>
  <sheetData>
    <row r="1" spans="1:32" x14ac:dyDescent="0.35">
      <c r="B1" s="4"/>
    </row>
    <row r="2" spans="1:32" x14ac:dyDescent="0.35">
      <c r="A2" s="25" t="s">
        <v>47</v>
      </c>
      <c r="B2" s="22" t="str">
        <f>Prices!B2</f>
        <v>SPY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spans="1:32" x14ac:dyDescent="0.3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5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35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35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3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35">
      <c r="A8" s="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35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35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35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35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35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35">
      <c r="A14" s="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35">
      <c r="A15" s="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35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3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35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35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35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35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3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35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3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35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35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35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35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35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35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35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35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35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35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35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35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35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35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35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35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35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35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35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3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3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3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3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3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3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3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3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3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35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3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3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35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35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35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35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35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3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35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35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35">
      <c r="A64" s="1" t="s">
        <v>21</v>
      </c>
      <c r="B64" s="3" t="e">
        <f>AVERAGE(B3:B62)</f>
        <v>#DIV/0!</v>
      </c>
      <c r="C64" s="3" t="e">
        <f t="shared" ref="C64:AF64" si="0">AVERAGE(C3:C62)</f>
        <v>#DIV/0!</v>
      </c>
      <c r="D64" s="3" t="e">
        <f t="shared" si="0"/>
        <v>#DIV/0!</v>
      </c>
      <c r="E64" s="3" t="e">
        <f t="shared" si="0"/>
        <v>#DIV/0!</v>
      </c>
      <c r="F64" s="3" t="e">
        <f t="shared" si="0"/>
        <v>#DIV/0!</v>
      </c>
      <c r="G64" s="3" t="e">
        <f t="shared" si="0"/>
        <v>#DIV/0!</v>
      </c>
      <c r="H64" s="3" t="e">
        <f t="shared" si="0"/>
        <v>#DIV/0!</v>
      </c>
      <c r="I64" s="3" t="e">
        <f t="shared" si="0"/>
        <v>#DIV/0!</v>
      </c>
      <c r="J64" s="3" t="e">
        <f t="shared" si="0"/>
        <v>#DIV/0!</v>
      </c>
      <c r="K64" s="3" t="e">
        <f t="shared" si="0"/>
        <v>#DIV/0!</v>
      </c>
      <c r="L64" s="3" t="e">
        <f t="shared" si="0"/>
        <v>#DIV/0!</v>
      </c>
      <c r="M64" s="3" t="e">
        <f t="shared" si="0"/>
        <v>#DIV/0!</v>
      </c>
      <c r="N64" s="3" t="e">
        <f t="shared" si="0"/>
        <v>#DIV/0!</v>
      </c>
      <c r="O64" s="3" t="e">
        <f t="shared" si="0"/>
        <v>#DIV/0!</v>
      </c>
      <c r="P64" s="3" t="e">
        <f t="shared" si="0"/>
        <v>#DIV/0!</v>
      </c>
      <c r="Q64" s="3" t="e">
        <f t="shared" si="0"/>
        <v>#DIV/0!</v>
      </c>
      <c r="R64" s="3" t="e">
        <f t="shared" si="0"/>
        <v>#DIV/0!</v>
      </c>
      <c r="S64" s="3" t="e">
        <f t="shared" si="0"/>
        <v>#DIV/0!</v>
      </c>
      <c r="T64" s="3" t="e">
        <f t="shared" si="0"/>
        <v>#DIV/0!</v>
      </c>
      <c r="U64" s="3" t="e">
        <f t="shared" si="0"/>
        <v>#DIV/0!</v>
      </c>
      <c r="V64" s="3" t="e">
        <f t="shared" si="0"/>
        <v>#DIV/0!</v>
      </c>
      <c r="W64" s="3" t="e">
        <f t="shared" si="0"/>
        <v>#DIV/0!</v>
      </c>
      <c r="X64" s="3" t="e">
        <f t="shared" si="0"/>
        <v>#DIV/0!</v>
      </c>
      <c r="Y64" s="3" t="e">
        <f t="shared" si="0"/>
        <v>#DIV/0!</v>
      </c>
      <c r="Z64" s="3" t="e">
        <f t="shared" si="0"/>
        <v>#DIV/0!</v>
      </c>
      <c r="AA64" s="3" t="e">
        <f t="shared" si="0"/>
        <v>#DIV/0!</v>
      </c>
      <c r="AB64" s="3" t="e">
        <f t="shared" si="0"/>
        <v>#DIV/0!</v>
      </c>
      <c r="AC64" s="3" t="e">
        <f t="shared" si="0"/>
        <v>#DIV/0!</v>
      </c>
      <c r="AD64" s="3" t="e">
        <f t="shared" si="0"/>
        <v>#DIV/0!</v>
      </c>
      <c r="AE64" s="3" t="e">
        <f t="shared" si="0"/>
        <v>#DIV/0!</v>
      </c>
      <c r="AF64" s="3" t="e">
        <f t="shared" si="0"/>
        <v>#DIV/0!</v>
      </c>
    </row>
    <row r="65" spans="1:32" x14ac:dyDescent="0.35">
      <c r="A65" s="1" t="s">
        <v>23</v>
      </c>
      <c r="B65" s="3" t="e">
        <f>_xlfn.STDEV.P(B3:B62)</f>
        <v>#DIV/0!</v>
      </c>
      <c r="C65" s="3" t="e">
        <f t="shared" ref="C65:AF65" si="1">_xlfn.STDEV.P(C3:C62)</f>
        <v>#DIV/0!</v>
      </c>
      <c r="D65" s="3" t="e">
        <f t="shared" si="1"/>
        <v>#DIV/0!</v>
      </c>
      <c r="E65" s="3" t="e">
        <f t="shared" si="1"/>
        <v>#DIV/0!</v>
      </c>
      <c r="F65" s="3" t="e">
        <f t="shared" si="1"/>
        <v>#DIV/0!</v>
      </c>
      <c r="G65" s="3" t="e">
        <f t="shared" si="1"/>
        <v>#DIV/0!</v>
      </c>
      <c r="H65" s="3" t="e">
        <f t="shared" si="1"/>
        <v>#DIV/0!</v>
      </c>
      <c r="I65" s="3" t="e">
        <f t="shared" si="1"/>
        <v>#DIV/0!</v>
      </c>
      <c r="J65" s="3" t="e">
        <f t="shared" si="1"/>
        <v>#DIV/0!</v>
      </c>
      <c r="K65" s="3" t="e">
        <f t="shared" si="1"/>
        <v>#DIV/0!</v>
      </c>
      <c r="L65" s="3" t="e">
        <f t="shared" si="1"/>
        <v>#DIV/0!</v>
      </c>
      <c r="M65" s="3" t="e">
        <f t="shared" si="1"/>
        <v>#DIV/0!</v>
      </c>
      <c r="N65" s="3" t="e">
        <f t="shared" si="1"/>
        <v>#DIV/0!</v>
      </c>
      <c r="O65" s="3" t="e">
        <f t="shared" si="1"/>
        <v>#DIV/0!</v>
      </c>
      <c r="P65" s="3" t="e">
        <f t="shared" si="1"/>
        <v>#DIV/0!</v>
      </c>
      <c r="Q65" s="3" t="e">
        <f t="shared" si="1"/>
        <v>#DIV/0!</v>
      </c>
      <c r="R65" s="3" t="e">
        <f t="shared" si="1"/>
        <v>#DIV/0!</v>
      </c>
      <c r="S65" s="3" t="e">
        <f t="shared" si="1"/>
        <v>#DIV/0!</v>
      </c>
      <c r="T65" s="3" t="e">
        <f t="shared" si="1"/>
        <v>#DIV/0!</v>
      </c>
      <c r="U65" s="3" t="e">
        <f t="shared" si="1"/>
        <v>#DIV/0!</v>
      </c>
      <c r="V65" s="3" t="e">
        <f t="shared" si="1"/>
        <v>#DIV/0!</v>
      </c>
      <c r="W65" s="3" t="e">
        <f t="shared" si="1"/>
        <v>#DIV/0!</v>
      </c>
      <c r="X65" s="3" t="e">
        <f t="shared" si="1"/>
        <v>#DIV/0!</v>
      </c>
      <c r="Y65" s="3" t="e">
        <f t="shared" si="1"/>
        <v>#DIV/0!</v>
      </c>
      <c r="Z65" s="3" t="e">
        <f t="shared" si="1"/>
        <v>#DIV/0!</v>
      </c>
      <c r="AA65" s="3" t="e">
        <f t="shared" si="1"/>
        <v>#DIV/0!</v>
      </c>
      <c r="AB65" s="3" t="e">
        <f t="shared" si="1"/>
        <v>#DIV/0!</v>
      </c>
      <c r="AC65" s="3" t="e">
        <f t="shared" si="1"/>
        <v>#DIV/0!</v>
      </c>
      <c r="AD65" s="3" t="e">
        <f t="shared" si="1"/>
        <v>#DIV/0!</v>
      </c>
      <c r="AE65" s="3" t="e">
        <f t="shared" si="1"/>
        <v>#DIV/0!</v>
      </c>
      <c r="AF65" s="3" t="e">
        <f t="shared" si="1"/>
        <v>#DIV/0!</v>
      </c>
    </row>
    <row r="66" spans="1:32" x14ac:dyDescent="0.3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" thickBot="1" x14ac:dyDescent="0.4">
      <c r="A67" s="1"/>
      <c r="B67" s="3" t="s">
        <v>38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35">
      <c r="A68" s="6"/>
      <c r="B68" s="6" t="s">
        <v>43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99" spans="1:32" ht="15" thickBot="1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x14ac:dyDescent="0.35">
      <c r="A100" s="1"/>
    </row>
    <row r="101" spans="1:32" ht="15" thickBot="1" x14ac:dyDescent="0.4">
      <c r="A101" s="1"/>
      <c r="B101" t="s">
        <v>24</v>
      </c>
    </row>
    <row r="102" spans="1:32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33" spans="1:32" ht="15" thickBo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x14ac:dyDescent="0.35">
      <c r="A134" s="1"/>
    </row>
    <row r="135" spans="1:32" x14ac:dyDescent="0.35">
      <c r="A135" s="1"/>
    </row>
    <row r="136" spans="1:32" x14ac:dyDescent="0.35">
      <c r="A136" s="1"/>
    </row>
    <row r="137" spans="1:32" x14ac:dyDescent="0.35">
      <c r="A137" s="1"/>
    </row>
    <row r="138" spans="1:32" x14ac:dyDescent="0.35">
      <c r="A138" s="1"/>
    </row>
    <row r="139" spans="1:32" x14ac:dyDescent="0.35">
      <c r="A139" s="1"/>
    </row>
    <row r="140" spans="1:32" x14ac:dyDescent="0.35">
      <c r="A140" s="1"/>
    </row>
    <row r="141" spans="1:32" x14ac:dyDescent="0.35">
      <c r="A141" s="1"/>
    </row>
    <row r="142" spans="1:32" x14ac:dyDescent="0.35">
      <c r="A142" s="1"/>
    </row>
    <row r="143" spans="1:32" x14ac:dyDescent="0.35">
      <c r="A143" s="1"/>
    </row>
    <row r="144" spans="1:32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32" x14ac:dyDescent="0.35">
      <c r="A161" s="1"/>
    </row>
    <row r="162" spans="1:32" x14ac:dyDescent="0.35">
      <c r="A162" s="1"/>
    </row>
    <row r="163" spans="1:32" x14ac:dyDescent="0.35">
      <c r="A163" s="1"/>
    </row>
    <row r="164" spans="1:32" x14ac:dyDescent="0.35">
      <c r="A164" s="1"/>
    </row>
    <row r="165" spans="1:32" x14ac:dyDescent="0.35">
      <c r="A165" s="1"/>
    </row>
    <row r="166" spans="1:32" x14ac:dyDescent="0.35">
      <c r="A166" s="1"/>
    </row>
    <row r="167" spans="1:32" x14ac:dyDescent="0.35">
      <c r="A167" s="1"/>
    </row>
    <row r="168" spans="1:32" ht="15" thickBot="1" x14ac:dyDescent="0.4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x14ac:dyDescent="0.35">
      <c r="A169" s="1"/>
    </row>
    <row r="170" spans="1:32" x14ac:dyDescent="0.35">
      <c r="A170" s="1"/>
    </row>
    <row r="171" spans="1:32" x14ac:dyDescent="0.35">
      <c r="A171" s="1"/>
    </row>
    <row r="172" spans="1:32" x14ac:dyDescent="0.35">
      <c r="A172" s="1"/>
    </row>
    <row r="173" spans="1:32" x14ac:dyDescent="0.35">
      <c r="A173" s="1"/>
    </row>
    <row r="174" spans="1:32" x14ac:dyDescent="0.35">
      <c r="A174" s="1"/>
    </row>
    <row r="175" spans="1:32" x14ac:dyDescent="0.35">
      <c r="A175" s="1"/>
    </row>
    <row r="176" spans="1:32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C95"/>
  <sheetViews>
    <sheetView zoomScaleNormal="100" workbookViewId="0">
      <selection activeCell="D4" sqref="D4"/>
    </sheetView>
  </sheetViews>
  <sheetFormatPr defaultRowHeight="14.5" x14ac:dyDescent="0.35"/>
  <cols>
    <col min="3" max="3" width="11.08984375" customWidth="1"/>
    <col min="6" max="6" width="15.36328125" bestFit="1" customWidth="1"/>
    <col min="12" max="12" width="8.81640625" bestFit="1" customWidth="1"/>
    <col min="25" max="25" width="10.36328125" bestFit="1" customWidth="1"/>
    <col min="27" max="27" width="10.08984375" customWidth="1"/>
    <col min="28" max="28" width="16.36328125" customWidth="1"/>
    <col min="29" max="29" width="9.36328125" bestFit="1" customWidth="1"/>
    <col min="32" max="32" width="11.81640625" bestFit="1" customWidth="1"/>
    <col min="33" max="33" width="13.08984375" bestFit="1" customWidth="1"/>
    <col min="42" max="42" width="9.81640625" bestFit="1" customWidth="1"/>
  </cols>
  <sheetData>
    <row r="1" spans="1:29" ht="14.5" customHeight="1" x14ac:dyDescent="0.35">
      <c r="E1" s="7" t="s">
        <v>33</v>
      </c>
      <c r="K1" s="7" t="s">
        <v>34</v>
      </c>
      <c r="O1" s="7" t="s">
        <v>46</v>
      </c>
      <c r="X1" s="7" t="s">
        <v>36</v>
      </c>
      <c r="AA1" s="7" t="s">
        <v>37</v>
      </c>
    </row>
    <row r="2" spans="1:29" ht="16.5" customHeight="1" x14ac:dyDescent="0.35">
      <c r="B2" s="29" t="s">
        <v>28</v>
      </c>
      <c r="C2" s="21"/>
      <c r="E2" t="s">
        <v>28</v>
      </c>
      <c r="F2" s="3"/>
      <c r="I2" s="26"/>
      <c r="K2" t="s">
        <v>52</v>
      </c>
      <c r="L2" s="12"/>
      <c r="O2" t="s">
        <v>28</v>
      </c>
      <c r="P2" s="14"/>
      <c r="X2" t="s">
        <v>28</v>
      </c>
      <c r="Y2" s="28"/>
      <c r="AB2" s="12"/>
    </row>
    <row r="3" spans="1:29" x14ac:dyDescent="0.35">
      <c r="B3" s="7" t="s">
        <v>29</v>
      </c>
      <c r="C3" s="19"/>
      <c r="E3" t="s">
        <v>29</v>
      </c>
      <c r="F3" s="17"/>
      <c r="L3" s="12"/>
      <c r="O3" t="s">
        <v>29</v>
      </c>
      <c r="P3" s="19"/>
      <c r="X3" t="s">
        <v>29</v>
      </c>
      <c r="Y3" s="19"/>
      <c r="AB3" s="13"/>
    </row>
    <row r="4" spans="1:29" x14ac:dyDescent="0.35">
      <c r="B4" s="30" t="s">
        <v>30</v>
      </c>
      <c r="C4" s="15"/>
      <c r="E4" t="s">
        <v>30</v>
      </c>
      <c r="F4" s="24">
        <v>4.000094493800449E-2</v>
      </c>
      <c r="H4" t="s">
        <v>30</v>
      </c>
      <c r="I4" s="24">
        <v>7.0000999991427088E-2</v>
      </c>
      <c r="L4" s="16"/>
      <c r="O4" t="s">
        <v>30</v>
      </c>
      <c r="P4" s="15"/>
      <c r="X4" t="s">
        <v>30</v>
      </c>
      <c r="Y4" s="15"/>
    </row>
    <row r="5" spans="1:29" ht="16.5" x14ac:dyDescent="0.45">
      <c r="B5" t="s">
        <v>32</v>
      </c>
      <c r="C5" s="4">
        <v>2.9999999999999997E-4</v>
      </c>
      <c r="E5" t="s">
        <v>48</v>
      </c>
      <c r="X5" t="s">
        <v>48</v>
      </c>
      <c r="AB5" s="16"/>
    </row>
    <row r="6" spans="1:29" x14ac:dyDescent="0.35">
      <c r="B6" s="30" t="s">
        <v>31</v>
      </c>
      <c r="C6" s="20"/>
      <c r="E6" t="s">
        <v>31</v>
      </c>
      <c r="L6" s="27"/>
      <c r="X6" t="s">
        <v>31</v>
      </c>
      <c r="Y6" s="2"/>
      <c r="AB6" s="16"/>
    </row>
    <row r="7" spans="1:29" x14ac:dyDescent="0.35">
      <c r="Y7" s="20"/>
    </row>
    <row r="8" spans="1:29" x14ac:dyDescent="0.35">
      <c r="A8" s="10" t="s">
        <v>25</v>
      </c>
      <c r="B8" t="s">
        <v>53</v>
      </c>
      <c r="C8" t="s">
        <v>26</v>
      </c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9" x14ac:dyDescent="0.35">
      <c r="A9" s="3"/>
      <c r="C9" t="s">
        <v>27</v>
      </c>
      <c r="N9" s="10"/>
      <c r="O9" s="10"/>
      <c r="P9" s="10"/>
      <c r="Q9" s="10"/>
      <c r="R9" s="10"/>
      <c r="S9" s="10"/>
      <c r="T9" s="10"/>
      <c r="U9" s="10"/>
      <c r="V9" s="10"/>
      <c r="W9" s="10"/>
      <c r="AA9" s="18"/>
      <c r="AB9" s="16"/>
      <c r="AC9" s="16"/>
    </row>
    <row r="10" spans="1:29" x14ac:dyDescent="0.35">
      <c r="A10" s="3"/>
      <c r="C10" s="3"/>
      <c r="E10" t="s">
        <v>42</v>
      </c>
      <c r="F10" s="3"/>
      <c r="I10" s="3"/>
      <c r="K10" s="18"/>
      <c r="L10" s="4"/>
      <c r="M10" s="16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t="s">
        <v>42</v>
      </c>
      <c r="Y10" s="3"/>
      <c r="AB10" s="3"/>
      <c r="AC10" s="3"/>
    </row>
    <row r="11" spans="1:29" x14ac:dyDescent="0.35">
      <c r="A11" s="3"/>
      <c r="C11" s="3"/>
      <c r="E11" t="s">
        <v>49</v>
      </c>
      <c r="F11" s="3"/>
      <c r="I11" s="3"/>
      <c r="K11" s="9"/>
      <c r="L11" s="3"/>
      <c r="M11" s="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t="s">
        <v>49</v>
      </c>
      <c r="Y11" s="3"/>
      <c r="AB11" s="3"/>
      <c r="AC11" s="3"/>
    </row>
    <row r="12" spans="1:29" x14ac:dyDescent="0.35">
      <c r="A12" s="3"/>
      <c r="C12" s="3"/>
      <c r="E12" t="s">
        <v>0</v>
      </c>
      <c r="F12" s="3"/>
      <c r="I12" s="3"/>
      <c r="K12" s="9"/>
      <c r="L12" s="3"/>
      <c r="M12" s="3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t="s">
        <v>0</v>
      </c>
      <c r="Y12" s="3"/>
      <c r="AB12" s="3"/>
      <c r="AC12" s="3"/>
    </row>
    <row r="13" spans="1:29" x14ac:dyDescent="0.35">
      <c r="A13" s="3"/>
      <c r="C13" s="3"/>
      <c r="E13" t="s">
        <v>1</v>
      </c>
      <c r="F13" s="3"/>
      <c r="I13" s="3"/>
      <c r="K13" s="9"/>
      <c r="L13" s="3"/>
      <c r="M13" s="3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t="s">
        <v>1</v>
      </c>
      <c r="Y13" s="3"/>
      <c r="AB13" s="3"/>
      <c r="AC13" s="3"/>
    </row>
    <row r="14" spans="1:29" x14ac:dyDescent="0.35">
      <c r="A14" s="3"/>
      <c r="C14" s="3"/>
      <c r="E14" t="s">
        <v>2</v>
      </c>
      <c r="F14" s="3"/>
      <c r="I14" s="3"/>
      <c r="K14" s="9"/>
      <c r="L14" s="3"/>
      <c r="M14" s="3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t="s">
        <v>2</v>
      </c>
      <c r="Y14" s="3"/>
      <c r="AB14" s="3"/>
      <c r="AC14" s="3"/>
    </row>
    <row r="15" spans="1:29" x14ac:dyDescent="0.35">
      <c r="A15" s="3"/>
      <c r="C15" s="3"/>
      <c r="E15" t="s">
        <v>50</v>
      </c>
      <c r="F15" s="3"/>
      <c r="I15" s="3"/>
      <c r="K15" s="9"/>
      <c r="L15" s="3"/>
      <c r="M15" s="3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t="s">
        <v>50</v>
      </c>
      <c r="Y15" s="3"/>
      <c r="AB15" s="3"/>
      <c r="AC15" s="3"/>
    </row>
    <row r="16" spans="1:29" x14ac:dyDescent="0.35">
      <c r="A16" s="3"/>
      <c r="C16" s="3"/>
      <c r="E16" t="s">
        <v>3</v>
      </c>
      <c r="F16" s="3"/>
      <c r="I16" s="3"/>
      <c r="K16" s="9"/>
      <c r="L16" s="3"/>
      <c r="M16" s="3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t="s">
        <v>3</v>
      </c>
      <c r="Y16" s="3"/>
      <c r="AB16" s="3"/>
      <c r="AC16" s="3"/>
    </row>
    <row r="17" spans="1:29" x14ac:dyDescent="0.35">
      <c r="A17" s="3"/>
      <c r="C17" s="3"/>
      <c r="E17" t="s">
        <v>4</v>
      </c>
      <c r="F17" s="3"/>
      <c r="I17" s="3"/>
      <c r="K17" s="9"/>
      <c r="L17" s="3"/>
      <c r="M17" s="3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t="s">
        <v>4</v>
      </c>
      <c r="Y17" s="3"/>
      <c r="AB17" s="3"/>
      <c r="AC17" s="3"/>
    </row>
    <row r="18" spans="1:29" x14ac:dyDescent="0.35">
      <c r="A18" s="3"/>
      <c r="C18" s="3"/>
      <c r="E18" t="s">
        <v>5</v>
      </c>
      <c r="F18" s="3"/>
      <c r="I18" s="3"/>
      <c r="K18" s="9"/>
      <c r="L18" s="3"/>
      <c r="M18" s="3"/>
      <c r="N18" s="10"/>
      <c r="O18" s="10"/>
      <c r="P18" s="10"/>
      <c r="Q18" s="10" t="s">
        <v>35</v>
      </c>
      <c r="R18" s="10"/>
      <c r="S18" s="10"/>
      <c r="T18" s="10"/>
      <c r="U18" s="10"/>
      <c r="V18" s="10"/>
      <c r="W18" s="10"/>
      <c r="X18" t="s">
        <v>5</v>
      </c>
      <c r="Y18" s="3"/>
      <c r="AB18" s="3"/>
      <c r="AC18" s="3"/>
    </row>
    <row r="19" spans="1:29" x14ac:dyDescent="0.35">
      <c r="A19" s="3"/>
      <c r="C19" s="3"/>
      <c r="E19" t="s">
        <v>45</v>
      </c>
      <c r="F19" s="3"/>
      <c r="I19" s="3"/>
      <c r="K19" s="9"/>
      <c r="L19" s="3"/>
      <c r="M19" s="3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t="s">
        <v>45</v>
      </c>
      <c r="Y19" s="3"/>
      <c r="AB19" s="3"/>
      <c r="AC19" s="3"/>
    </row>
    <row r="20" spans="1:29" x14ac:dyDescent="0.35">
      <c r="A20" s="3"/>
      <c r="C20" s="3"/>
      <c r="E20" t="s">
        <v>39</v>
      </c>
      <c r="F20" s="3"/>
      <c r="I20" s="3"/>
      <c r="K20" s="9"/>
      <c r="L20" s="3"/>
      <c r="M20" s="3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t="s">
        <v>39</v>
      </c>
      <c r="Y20" s="3"/>
      <c r="AB20" s="3"/>
      <c r="AC20" s="3"/>
    </row>
    <row r="21" spans="1:29" x14ac:dyDescent="0.35">
      <c r="A21" s="3"/>
      <c r="C21" s="3"/>
      <c r="E21" t="s">
        <v>6</v>
      </c>
      <c r="F21" s="3"/>
      <c r="I21" s="3"/>
      <c r="K21" s="9"/>
      <c r="L21" s="3"/>
      <c r="M21" s="3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t="s">
        <v>6</v>
      </c>
      <c r="Y21" s="3"/>
      <c r="AB21" s="3"/>
      <c r="AC21" s="3"/>
    </row>
    <row r="22" spans="1:29" x14ac:dyDescent="0.35">
      <c r="A22" s="3"/>
      <c r="C22" s="3"/>
      <c r="E22" t="s">
        <v>51</v>
      </c>
      <c r="F22" s="3"/>
      <c r="I22" s="3"/>
      <c r="K22" s="9"/>
      <c r="L22" s="3"/>
      <c r="M22" s="3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t="s">
        <v>51</v>
      </c>
      <c r="Y22" s="3"/>
      <c r="AB22" s="3"/>
      <c r="AC22" s="3"/>
    </row>
    <row r="23" spans="1:29" x14ac:dyDescent="0.35">
      <c r="A23" s="3"/>
      <c r="C23" s="3"/>
      <c r="E23" t="s">
        <v>7</v>
      </c>
      <c r="F23" s="3"/>
      <c r="I23" s="3"/>
      <c r="K23" s="9"/>
      <c r="L23" s="3"/>
      <c r="M23" s="3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t="s">
        <v>7</v>
      </c>
      <c r="Y23" s="3"/>
      <c r="AB23" s="3"/>
      <c r="AC23" s="3"/>
    </row>
    <row r="24" spans="1:29" x14ac:dyDescent="0.35">
      <c r="A24" s="3"/>
      <c r="C24" s="3"/>
      <c r="E24" t="s">
        <v>8</v>
      </c>
      <c r="F24" s="3"/>
      <c r="I24" s="3"/>
      <c r="K24" s="9"/>
      <c r="L24" s="3"/>
      <c r="M24" s="3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t="s">
        <v>8</v>
      </c>
      <c r="Y24" s="3"/>
      <c r="AB24" s="3"/>
      <c r="AC24" s="3"/>
    </row>
    <row r="25" spans="1:29" x14ac:dyDescent="0.35">
      <c r="A25" s="3"/>
      <c r="C25" s="3"/>
      <c r="E25" t="s">
        <v>9</v>
      </c>
      <c r="F25" s="3"/>
      <c r="I25" s="3"/>
      <c r="K25" s="9"/>
      <c r="L25" s="3"/>
      <c r="M25" s="3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t="s">
        <v>9</v>
      </c>
      <c r="Y25" s="3"/>
      <c r="AB25" s="3"/>
      <c r="AC25" s="3"/>
    </row>
    <row r="26" spans="1:29" x14ac:dyDescent="0.35">
      <c r="A26" s="3"/>
      <c r="C26" s="3"/>
      <c r="E26" t="s">
        <v>10</v>
      </c>
      <c r="F26" s="3"/>
      <c r="I26" s="3"/>
      <c r="K26" s="9"/>
      <c r="L26" s="3"/>
      <c r="M26" s="3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t="s">
        <v>10</v>
      </c>
      <c r="Y26" s="3"/>
      <c r="AB26" s="3"/>
      <c r="AC26" s="3"/>
    </row>
    <row r="27" spans="1:29" x14ac:dyDescent="0.35">
      <c r="A27" s="3"/>
      <c r="C27" s="3"/>
      <c r="E27" t="s">
        <v>11</v>
      </c>
      <c r="F27" s="3"/>
      <c r="I27" s="3"/>
      <c r="K27" s="9"/>
      <c r="L27" s="3"/>
      <c r="M27" s="3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t="s">
        <v>11</v>
      </c>
      <c r="Y27" s="3"/>
      <c r="AB27" s="3"/>
      <c r="AC27" s="3"/>
    </row>
    <row r="28" spans="1:29" x14ac:dyDescent="0.35">
      <c r="A28" s="3"/>
      <c r="C28" s="3"/>
      <c r="E28" t="s">
        <v>12</v>
      </c>
      <c r="F28" s="3"/>
      <c r="I28" s="3"/>
      <c r="K28" s="9"/>
      <c r="L28" s="3"/>
      <c r="M28" s="3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t="s">
        <v>12</v>
      </c>
      <c r="Y28" s="3"/>
      <c r="AB28" s="3"/>
      <c r="AC28" s="3"/>
    </row>
    <row r="29" spans="1:29" x14ac:dyDescent="0.35">
      <c r="A29" s="3"/>
      <c r="C29" s="3"/>
      <c r="E29" t="s">
        <v>13</v>
      </c>
      <c r="F29" s="3"/>
      <c r="I29" s="3"/>
      <c r="K29" s="9"/>
      <c r="L29" s="3"/>
      <c r="M29" s="3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t="s">
        <v>13</v>
      </c>
      <c r="Y29" s="3"/>
      <c r="AB29" s="3"/>
      <c r="AC29" s="3"/>
    </row>
    <row r="30" spans="1:29" x14ac:dyDescent="0.35">
      <c r="A30" s="3"/>
      <c r="C30" s="3"/>
      <c r="E30" t="s">
        <v>14</v>
      </c>
      <c r="F30" s="3"/>
      <c r="I30" s="3"/>
      <c r="K30" s="9"/>
      <c r="L30" s="3"/>
      <c r="M30" s="3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t="s">
        <v>14</v>
      </c>
      <c r="Y30" s="3"/>
      <c r="AB30" s="3"/>
      <c r="AC30" s="3"/>
    </row>
    <row r="31" spans="1:29" x14ac:dyDescent="0.35">
      <c r="A31" s="3"/>
      <c r="C31" s="3"/>
      <c r="E31" t="s">
        <v>15</v>
      </c>
      <c r="F31" s="3"/>
      <c r="I31" s="3"/>
      <c r="K31" s="9"/>
      <c r="L31" s="3"/>
      <c r="M31" s="3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t="s">
        <v>15</v>
      </c>
      <c r="Y31" s="3"/>
      <c r="AB31" s="3"/>
      <c r="AC31" s="3"/>
    </row>
    <row r="32" spans="1:29" x14ac:dyDescent="0.35">
      <c r="A32" s="3"/>
      <c r="C32" s="3"/>
      <c r="E32" t="s">
        <v>40</v>
      </c>
      <c r="F32" s="3"/>
      <c r="I32" s="3"/>
      <c r="K32" s="9"/>
      <c r="L32" s="3"/>
      <c r="M32" s="3"/>
      <c r="X32" t="s">
        <v>40</v>
      </c>
      <c r="Y32" s="3"/>
      <c r="AB32" s="3"/>
      <c r="AC32" s="3"/>
    </row>
    <row r="33" spans="1:29" x14ac:dyDescent="0.35">
      <c r="A33" s="3"/>
      <c r="C33" s="3"/>
      <c r="E33" t="s">
        <v>16</v>
      </c>
      <c r="F33" s="3"/>
      <c r="I33" s="3"/>
      <c r="K33" s="9"/>
      <c r="L33" s="3"/>
      <c r="M33" s="3"/>
      <c r="X33" t="s">
        <v>16</v>
      </c>
      <c r="Y33" s="3"/>
      <c r="AB33" s="3"/>
      <c r="AC33" s="3"/>
    </row>
    <row r="34" spans="1:29" x14ac:dyDescent="0.35">
      <c r="A34" s="3"/>
      <c r="C34" s="3"/>
      <c r="E34" t="s">
        <v>17</v>
      </c>
      <c r="F34" s="3"/>
      <c r="I34" s="3"/>
      <c r="K34" s="9"/>
      <c r="L34" s="3"/>
      <c r="M34" s="3"/>
      <c r="X34" t="s">
        <v>17</v>
      </c>
      <c r="Y34" s="3"/>
      <c r="AB34" s="3"/>
      <c r="AC34" s="3"/>
    </row>
    <row r="35" spans="1:29" x14ac:dyDescent="0.35">
      <c r="A35" s="3"/>
      <c r="C35" s="3"/>
      <c r="E35" t="s">
        <v>18</v>
      </c>
      <c r="F35" s="3"/>
      <c r="I35" s="3"/>
      <c r="K35" s="9"/>
      <c r="L35" s="3"/>
      <c r="M35" s="3"/>
      <c r="X35" t="s">
        <v>18</v>
      </c>
      <c r="Y35" s="3"/>
      <c r="AB35" s="3"/>
      <c r="AC35" s="3"/>
    </row>
    <row r="36" spans="1:29" x14ac:dyDescent="0.35">
      <c r="A36" s="3"/>
      <c r="C36" s="3"/>
      <c r="E36" t="s">
        <v>41</v>
      </c>
      <c r="F36" s="3"/>
      <c r="I36" s="3"/>
      <c r="K36" s="9"/>
      <c r="L36" s="3"/>
      <c r="M36" s="3"/>
      <c r="X36" t="s">
        <v>41</v>
      </c>
      <c r="Y36" s="3"/>
    </row>
    <row r="37" spans="1:29" x14ac:dyDescent="0.35">
      <c r="A37" s="3"/>
      <c r="C37" s="3"/>
      <c r="E37" t="s">
        <v>19</v>
      </c>
      <c r="F37" s="3"/>
      <c r="I37" s="3"/>
      <c r="K37" s="9"/>
      <c r="L37" s="3"/>
      <c r="M37" s="3"/>
      <c r="X37" t="s">
        <v>19</v>
      </c>
      <c r="Y37" s="3"/>
    </row>
    <row r="38" spans="1:29" x14ac:dyDescent="0.35">
      <c r="A38" s="3"/>
      <c r="C38" s="3"/>
      <c r="E38" t="s">
        <v>44</v>
      </c>
      <c r="F38" s="3"/>
      <c r="I38" s="3"/>
      <c r="K38" s="9"/>
      <c r="L38" s="3"/>
      <c r="M38" s="3"/>
      <c r="X38" t="s">
        <v>44</v>
      </c>
      <c r="Y38" s="3"/>
    </row>
    <row r="39" spans="1:29" x14ac:dyDescent="0.35">
      <c r="A39" s="3"/>
      <c r="C39" s="3"/>
      <c r="E39" t="s">
        <v>20</v>
      </c>
      <c r="F39" s="3"/>
      <c r="I39" s="3"/>
      <c r="K39" s="9"/>
      <c r="L39" s="3"/>
      <c r="M39" s="3"/>
      <c r="X39" t="s">
        <v>20</v>
      </c>
      <c r="Y39" s="3"/>
    </row>
    <row r="40" spans="1:29" x14ac:dyDescent="0.35">
      <c r="B40" s="8" t="s">
        <v>22</v>
      </c>
      <c r="C40" s="4"/>
      <c r="E40" s="8" t="s">
        <v>22</v>
      </c>
      <c r="F40" s="4"/>
      <c r="I40" s="4"/>
      <c r="K40" s="9"/>
      <c r="L40" s="3"/>
      <c r="M40" s="3"/>
      <c r="X40" s="8" t="s">
        <v>22</v>
      </c>
      <c r="Y40" s="4"/>
    </row>
    <row r="41" spans="1:29" x14ac:dyDescent="0.35">
      <c r="K41" s="9"/>
      <c r="L41" s="3"/>
      <c r="M41" s="3"/>
    </row>
    <row r="42" spans="1:29" x14ac:dyDescent="0.35">
      <c r="K42" s="9"/>
      <c r="L42" s="3"/>
      <c r="M42" s="3"/>
    </row>
    <row r="43" spans="1:29" x14ac:dyDescent="0.35">
      <c r="K43" s="9"/>
      <c r="L43" s="3"/>
      <c r="M43" s="3"/>
    </row>
    <row r="44" spans="1:29" x14ac:dyDescent="0.35">
      <c r="K44" s="9"/>
      <c r="L44" s="3"/>
      <c r="M44" s="3"/>
    </row>
    <row r="45" spans="1:29" x14ac:dyDescent="0.35">
      <c r="K45" s="9"/>
      <c r="L45" s="3"/>
      <c r="M45" s="3"/>
    </row>
    <row r="46" spans="1:29" x14ac:dyDescent="0.35">
      <c r="K46" s="9"/>
      <c r="L46" s="3"/>
      <c r="M46" s="3"/>
    </row>
    <row r="47" spans="1:29" x14ac:dyDescent="0.35">
      <c r="K47" s="9"/>
      <c r="L47" s="3"/>
      <c r="M47" s="3"/>
    </row>
    <row r="48" spans="1:29" x14ac:dyDescent="0.35">
      <c r="K48" s="9"/>
      <c r="L48" s="3"/>
      <c r="M48" s="3"/>
    </row>
    <row r="49" spans="1:29" x14ac:dyDescent="0.35">
      <c r="K49" s="9"/>
      <c r="L49" s="3"/>
      <c r="M49" s="3"/>
    </row>
    <row r="50" spans="1:29" x14ac:dyDescent="0.35">
      <c r="K50" s="9"/>
      <c r="L50" s="3"/>
      <c r="M50" s="3"/>
    </row>
    <row r="51" spans="1:29" x14ac:dyDescent="0.35">
      <c r="K51" s="9"/>
      <c r="L51" s="3"/>
      <c r="M51" s="3"/>
    </row>
    <row r="52" spans="1:29" x14ac:dyDescent="0.35">
      <c r="K52" s="9"/>
      <c r="L52" s="3"/>
      <c r="M52" s="3"/>
    </row>
    <row r="53" spans="1:29" x14ac:dyDescent="0.35">
      <c r="K53" s="9"/>
      <c r="L53" s="3"/>
      <c r="M53" s="3"/>
    </row>
    <row r="54" spans="1:29" x14ac:dyDescent="0.35">
      <c r="K54" s="9"/>
      <c r="L54" s="3"/>
      <c r="M54" s="3"/>
    </row>
    <row r="55" spans="1:29" x14ac:dyDescent="0.35">
      <c r="K55" s="9"/>
      <c r="L55" s="3"/>
      <c r="M55" s="3"/>
    </row>
    <row r="56" spans="1:29" x14ac:dyDescent="0.35">
      <c r="K56" s="9"/>
      <c r="L56" s="3"/>
      <c r="M56" s="3"/>
    </row>
    <row r="57" spans="1:29" x14ac:dyDescent="0.35">
      <c r="K57" s="9"/>
      <c r="L57" s="3"/>
      <c r="M57" s="3"/>
    </row>
    <row r="58" spans="1:29" x14ac:dyDescent="0.35">
      <c r="K58" s="9"/>
      <c r="L58" s="3"/>
      <c r="M58" s="3"/>
    </row>
    <row r="59" spans="1:29" x14ac:dyDescent="0.35">
      <c r="K59" s="9"/>
      <c r="L59" s="3"/>
      <c r="M59" s="3"/>
    </row>
    <row r="64" spans="1:29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6" spans="1:1" x14ac:dyDescent="0.35">
      <c r="A66" s="3"/>
    </row>
    <row r="67" spans="1:1" x14ac:dyDescent="0.35">
      <c r="A67" s="3"/>
    </row>
    <row r="68" spans="1:1" x14ac:dyDescent="0.35">
      <c r="A68" s="3"/>
    </row>
    <row r="69" spans="1:1" x14ac:dyDescent="0.35">
      <c r="A69" s="3"/>
    </row>
    <row r="70" spans="1:1" x14ac:dyDescent="0.35">
      <c r="A70" s="3"/>
    </row>
    <row r="71" spans="1:1" x14ac:dyDescent="0.35">
      <c r="A71" s="3"/>
    </row>
    <row r="72" spans="1:1" x14ac:dyDescent="0.35">
      <c r="A72" s="3"/>
    </row>
    <row r="73" spans="1:1" x14ac:dyDescent="0.35">
      <c r="A73" s="3"/>
    </row>
    <row r="74" spans="1:1" x14ac:dyDescent="0.35">
      <c r="A74" s="3"/>
    </row>
    <row r="75" spans="1:1" x14ac:dyDescent="0.35">
      <c r="A75" s="3"/>
    </row>
    <row r="76" spans="1:1" x14ac:dyDescent="0.35">
      <c r="A76" s="3"/>
    </row>
    <row r="77" spans="1:1" x14ac:dyDescent="0.35">
      <c r="A77" s="3"/>
    </row>
    <row r="78" spans="1:1" x14ac:dyDescent="0.35">
      <c r="A78" s="3"/>
    </row>
    <row r="79" spans="1:1" x14ac:dyDescent="0.35">
      <c r="A79" s="3"/>
    </row>
    <row r="80" spans="1:1" x14ac:dyDescent="0.35">
      <c r="A80" s="3"/>
    </row>
    <row r="81" spans="1:1" x14ac:dyDescent="0.35">
      <c r="A81" s="3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  <row r="89" spans="1:1" x14ac:dyDescent="0.35">
      <c r="A89" s="3"/>
    </row>
    <row r="90" spans="1:1" x14ac:dyDescent="0.35">
      <c r="A90" s="3"/>
    </row>
    <row r="91" spans="1:1" x14ac:dyDescent="0.35">
      <c r="A91" s="3"/>
    </row>
    <row r="92" spans="1:1" x14ac:dyDescent="0.35">
      <c r="A92" s="3"/>
    </row>
    <row r="93" spans="1:1" x14ac:dyDescent="0.35">
      <c r="A93" s="3"/>
    </row>
    <row r="94" spans="1:1" x14ac:dyDescent="0.35">
      <c r="A94" s="3"/>
    </row>
    <row r="95" spans="1:1" x14ac:dyDescent="0.35">
      <c r="A9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61:AC62"/>
  <sheetViews>
    <sheetView workbookViewId="0">
      <selection activeCell="E20" sqref="E20"/>
    </sheetView>
  </sheetViews>
  <sheetFormatPr defaultRowHeight="14.5" x14ac:dyDescent="0.35"/>
  <cols>
    <col min="1" max="1" width="9.81640625" bestFit="1" customWidth="1"/>
    <col min="10" max="10" width="17.81640625" bestFit="1" customWidth="1"/>
  </cols>
  <sheetData>
    <row r="61" spans="1:29" x14ac:dyDescent="0.35">
      <c r="A61" s="1"/>
      <c r="B61" s="3"/>
      <c r="AC61" s="3"/>
    </row>
    <row r="62" spans="1:29" x14ac:dyDescent="0.35">
      <c r="A62" s="1"/>
      <c r="B62" s="3"/>
      <c r="AC6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DJReturns</vt:lpstr>
      <vt:lpstr>DJFrontier</vt:lpstr>
      <vt:lpstr>SP Hist</vt:lpstr>
    </vt:vector>
  </TitlesOfParts>
  <Company>David Eccles School of Bsuiness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Joshua Zayne</cp:lastModifiedBy>
  <dcterms:created xsi:type="dcterms:W3CDTF">2013-01-02T21:07:38Z</dcterms:created>
  <dcterms:modified xsi:type="dcterms:W3CDTF">2026-01-27T08:42:47Z</dcterms:modified>
</cp:coreProperties>
</file>